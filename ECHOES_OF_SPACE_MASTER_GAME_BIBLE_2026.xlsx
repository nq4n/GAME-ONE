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3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4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ables/table5.xml" ContentType="application/vnd.openxmlformats-officedocument.spreadsheetml.table+xml"/>
  <Override PartName="/xl/worksheets/sheet24.xml" ContentType="application/vnd.openxmlformats-officedocument.spreadsheetml.worksheet+xml"/>
  <Override PartName="/xl/tables/table6.xml" ContentType="application/vnd.openxmlformats-officedocument.spreadsheetml.table+xml"/>
  <Override PartName="/xl/worksheets/sheet25.xml" ContentType="application/vnd.openxmlformats-officedocument.spreadsheetml.worksheet+xml"/>
  <Override PartName="/xl/tables/table7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2692144814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 تنفيذي" sheetId="1" r:id="R14146501205d4732"/>
    <x:sheet xmlns:r="http://schemas.openxmlformats.org/officeDocument/2006/relationships" name="التحدي والمتطلبات" sheetId="2" r:id="Re9f2281b9beb436c"/>
    <x:sheet xmlns:r="http://schemas.openxmlformats.org/officeDocument/2006/relationships" name="الأهلية والتنظيم" sheetId="3" r:id="Re7d777ea7dae4fdc"/>
    <x:sheet xmlns:r="http://schemas.openxmlformats.org/officeDocument/2006/relationships" name="رؤية اللعبة" sheetId="4" r:id="R5df212412f1f4113"/>
    <x:sheet xmlns:r="http://schemas.openxmlformats.org/officeDocument/2006/relationships" name="العالم والشخصيات" sheetId="5" r:id="R80e8f97a112e4c86"/>
    <x:sheet xmlns:r="http://schemas.openxmlformats.org/officeDocument/2006/relationships" name="رحلة اللاعب" sheetId="6" r:id="R5fdb4f6a651a4a07"/>
    <x:sheet xmlns:r="http://schemas.openxmlformats.org/officeDocument/2006/relationships" name="خارطة المراحل" sheetId="7" r:id="Rd287e147f9ff4207"/>
    <x:sheet xmlns:r="http://schemas.openxmlformats.org/officeDocument/2006/relationships" name="الألغاز" sheetId="8" r:id="R923bc3eed76d4218"/>
    <x:sheet xmlns:r="http://schemas.openxmlformats.org/officeDocument/2006/relationships" name="العلاقات والشروط" sheetId="9" r:id="R61c41ef36476471c"/>
    <x:sheet xmlns:r="http://schemas.openxmlformats.org/officeDocument/2006/relationships" name="الأدلة والمقتنيات" sheetId="10" r:id="R88293629e58740df"/>
    <x:sheet xmlns:r="http://schemas.openxmlformats.org/officeDocument/2006/relationships" name="النقاط والمكافآت" sheetId="11" r:id="Rae64a46eaf3d4427"/>
    <x:sheet xmlns:r="http://schemas.openxmlformats.org/officeDocument/2006/relationships" name="تفصيل مهمة القمر" sheetId="12" r:id="R2a38a6f20f0a42e2"/>
    <x:sheet xmlns:r="http://schemas.openxmlformats.org/officeDocument/2006/relationships" name="تفصيل مهمة المريخ" sheetId="13" r:id="Rae53fda03e4f42a6"/>
    <x:sheet xmlns:r="http://schemas.openxmlformats.org/officeDocument/2006/relationships" name="التوسعات" sheetId="14" r:id="Re7f1b707de6a447f"/>
    <x:sheet xmlns:r="http://schemas.openxmlformats.org/officeDocument/2006/relationships" name="العوالم والخرائط" sheetId="15" r:id="R653f733f3d7b41b8"/>
    <x:sheet xmlns:r="http://schemas.openxmlformats.org/officeDocument/2006/relationships" name="التعلم وقياس الأثر" sheetId="16" r:id="R4cb86ccc3ff749cf"/>
    <x:sheet xmlns:r="http://schemas.openxmlformats.org/officeDocument/2006/relationships" name="الأدلة العلمية" sheetId="17" r:id="R7374b0022e4c47bf"/>
    <x:sheet xmlns:r="http://schemas.openxmlformats.org/officeDocument/2006/relationships" name="النماذج والمعادلات" sheetId="18" r:id="R081933232ac846a3"/>
    <x:sheet xmlns:r="http://schemas.openxmlformats.org/officeDocument/2006/relationships" name="تجربة المستخدم" sheetId="19" r:id="Refb4281b449b40b3"/>
    <x:sheet xmlns:r="http://schemas.openxmlformats.org/officeDocument/2006/relationships" name="الهندسة التقنية" sheetId="20" r:id="R7ff95cc0be00430f"/>
    <x:sheet xmlns:r="http://schemas.openxmlformats.org/officeDocument/2006/relationships" name="خطة التنفيذ" sheetId="21" r:id="R767dee186ebe4bf1"/>
    <x:sheet xmlns:r="http://schemas.openxmlformats.org/officeDocument/2006/relationships" name="فريق الستة" sheetId="22" r:id="Re85a638d9fb54117"/>
    <x:sheet xmlns:r="http://schemas.openxmlformats.org/officeDocument/2006/relationships" name="الاختبارات" sheetId="23" r:id="Rf1389f45c79e4e8b"/>
    <x:sheet xmlns:r="http://schemas.openxmlformats.org/officeDocument/2006/relationships" name="المخاطر" sheetId="24" r:id="Rf892882b26454f9b"/>
    <x:sheet xmlns:r="http://schemas.openxmlformats.org/officeDocument/2006/relationships" name="التحكيم" sheetId="25" r:id="Rc202c6ee4abb40d4"/>
    <x:sheet xmlns:r="http://schemas.openxmlformats.org/officeDocument/2006/relationships" name="المنافسون والمقارنات" sheetId="26" r:id="Rb12eb4e20a6b4335"/>
    <x:sheet xmlns:r="http://schemas.openxmlformats.org/officeDocument/2006/relationships" name="مرجع 35 لعبة" sheetId="27" r:id="Rb94f9a85997d42dd"/>
    <x:sheet xmlns:r="http://schemas.openxmlformats.org/officeDocument/2006/relationships" name="الأصول والتراخيص" sheetId="28" r:id="Re469730366a148ee"/>
    <x:sheet xmlns:r="http://schemas.openxmlformats.org/officeDocument/2006/relationships" name="ميزانية افتراضية" sheetId="29" r:id="Rd22484a233b74896"/>
    <x:sheet xmlns:r="http://schemas.openxmlformats.org/officeDocument/2006/relationships" name="عرض 5 دقائق" sheetId="30" r:id="Rd2472b07167c434c"/>
    <x:sheet xmlns:r="http://schemas.openxmlformats.org/officeDocument/2006/relationships" name="أسئلة المحكمين" sheetId="31" r:id="R87ee34f47ece4adc"/>
    <x:sheet xmlns:r="http://schemas.openxmlformats.org/officeDocument/2006/relationships" name="متطلبات التسليم" sheetId="32" r:id="R9d791d8fb8124f86"/>
    <x:sheet xmlns:r="http://schemas.openxmlformats.org/officeDocument/2006/relationships" name="القاموس والتوطين" sheetId="33" r:id="R66b9d59e99774086"/>
    <x:sheet xmlns:r="http://schemas.openxmlformats.org/officeDocument/2006/relationships" name="المقاييس والتجارب" sheetId="34" r:id="R17dcabbfe6ff48c8"/>
    <x:sheet xmlns:r="http://schemas.openxmlformats.org/officeDocument/2006/relationships" name="خطة اختبار اللاعبين" sheetId="35" r:id="R646695eb940d4f76"/>
    <x:sheet xmlns:r="http://schemas.openxmlformats.org/officeDocument/2006/relationships" name="خارطة المستقبل" sheetId="36" r:id="R7723919a1c554b82"/>
    <x:sheet xmlns:r="http://schemas.openxmlformats.org/officeDocument/2006/relationships" name="ما أُنجز فعليًا" sheetId="37" r:id="Raab150ea27af478e"/>
    <x:sheet xmlns:r="http://schemas.openxmlformats.org/officeDocument/2006/relationships" name="قرار الإطلاق" sheetId="38" r:id="R52aa4569fa6a4e41"/>
    <x:sheet xmlns:r="http://schemas.openxmlformats.org/officeDocument/2006/relationships" name="سجل القرارات" sheetId="39" r:id="R786e6bca89944b3d"/>
    <x:sheet xmlns:r="http://schemas.openxmlformats.org/officeDocument/2006/relationships" name="المصادر" sheetId="40" r:id="Ra9c9bcfe3647406c"/>
    <x:sheet xmlns:r="http://schemas.openxmlformats.org/officeDocument/2006/relationships" name="مراجعة ذاتية" sheetId="41" r:id="Rae54e69ed77541fe"/>
    <x:sheet xmlns:r="http://schemas.openxmlformats.org/officeDocument/2006/relationships" name="فهرس المصنف" sheetId="42" r:id="R17ea7b1c8f344e98"/>
    <x:sheet xmlns:r="http://schemas.openxmlformats.org/officeDocument/2006/relationships" name="لوحة القيادة" sheetId="43" r:id="R101136ffdb6f4e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 &quot;OMR&quot;"/>
    <x:numFmt numFmtId="201" formatCode="0.0&quot;%&quot;"/>
  </x:numFmts>
  <x:fonts count="16">
    <x:font>
      <x:sz val="11"/>
      <x:name val="Carlito"/>
    </x:font>
    <x:font>
      <x:b/>
      <x:sz val="20"/>
      <x:color rgb="FFFFFFFF"/>
      <x:name val="Carlito"/>
    </x:font>
    <x:font>
      <x:sz val="10"/>
      <x:color rgb="FFFFFFFF"/>
      <x:name val="Carlito"/>
    </x:font>
    <x:font>
      <x:i/>
      <x:sz val="9"/>
      <x:color rgb="FF536478"/>
      <x:name val="Carlito"/>
    </x:font>
    <x:font>
      <x:b/>
      <x:sz val="11"/>
      <x:color rgb="FFFFFFFF"/>
      <x:name val="Carlito"/>
    </x:font>
    <x:font>
      <x:sz val="10"/>
      <x:color rgb="FF18273B"/>
      <x:name val="Carlito"/>
    </x:font>
    <x:font>
      <x:b/>
      <x:sz val="11"/>
      <x:color rgb="FF11233C"/>
      <x:name val="Carlito"/>
    </x:font>
    <x:font>
      <x:b/>
      <x:sz val="22"/>
      <x:color rgb="FFFFFFFF"/>
      <x:name val="Carlito"/>
    </x:font>
    <x:font>
      <x:sz val="12"/>
      <x:color rgb="FFFFFFFF"/>
      <x:name val="Carlito"/>
    </x:font>
    <x:font>
      <x:b/>
      <x:sz val="23"/>
      <x:color rgb="FF11233C"/>
      <x:name val="Carlito"/>
    </x:font>
    <x:font>
      <x:b/>
      <x:sz val="21"/>
      <x:color rgb="FF11233C"/>
      <x:name val="Carlito"/>
    </x:font>
    <x:font>
      <x:b/>
      <x:sz val="13"/>
      <x:color rgb="FFFFFFFF"/>
      <x:name val="Carlito"/>
    </x:font>
    <x:font>
      <x:b/>
      <x:sz val="13"/>
      <x:color rgb="FF6A3D09"/>
      <x:name val="Carlito"/>
    </x:font>
    <x:font>
      <x:sz val="9"/>
      <x:color rgb="FF18273B"/>
      <x:name val="Carlito"/>
    </x:font>
    <x:font>
      <x:b/>
      <x:sz val="10"/>
      <x:color rgb="FF18273B"/>
      <x:name val="Carlito"/>
    </x:font>
    <x:font>
      <x:sz val="11"/>
      <x:color rgb="FF674A18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0B1627"/>
      </x:patternFill>
    </x:fill>
    <x:fill>
      <x:patternFill patternType="solid">
        <x:fgColor rgb="FF0D7685"/>
      </x:patternFill>
    </x:fill>
    <x:fill>
      <x:patternFill patternType="solid">
        <x:fgColor rgb="FFDDEAF2"/>
      </x:patternFill>
    </x:fill>
    <x:fill>
      <x:patternFill patternType="solid">
        <x:fgColor rgb="FF11233C"/>
      </x:patternFill>
    </x:fill>
    <x:fill>
      <x:patternFill patternType="solid">
        <x:fgColor rgb="FFE2F0F4"/>
      </x:patternFill>
    </x:fill>
    <x:fill>
      <x:patternFill patternType="solid">
        <x:fgColor rgb="FFE5F6F8"/>
      </x:patternFill>
    </x:fill>
    <x:fill>
      <x:patternFill patternType="solid">
        <x:fgColor rgb="FFE7EFF6"/>
      </x:patternFill>
    </x:fill>
    <x:fill>
      <x:patternFill patternType="solid">
        <x:fgColor rgb="FF7C2D39"/>
      </x:patternFill>
    </x:fill>
    <x:fill>
      <x:patternFill patternType="solid">
        <x:fgColor rgb="FFFFF1D1"/>
      </x:patternFill>
    </x:fill>
    <x:fill>
      <x:patternFill patternType="solid">
        <x:fgColor rgb="FFF1F7FA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DCE6ED"/>
      </x:patternFill>
    </x:fill>
    <x:fill>
      <x:patternFill patternType="solid">
        <x:fgColor rgb="FFD9F3F4"/>
      </x:patternFill>
    </x:fill>
  </x:fills>
  <x:borders count="2">
    <x:border/>
    <x:border/>
  </x:borders>
  <x:cellStyleXfs count="1">
    <x:xf numFmtId="0" fontId="0" fillId="0" borderId="0"/>
  </x:cellStyleXfs>
  <x:cellXfs count="10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5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6" fillId="6" borderId="0" xfId="0" applyNumberFormat="1" applyFont="1" applyFill="1" applyBorder="1"/>
    <x:xf numFmtId="200" fontId="6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/>
    <x:xf numFmtId="0" fontId="6" fillId="6" borderId="1" xfId="0" applyNumberFormat="1" applyFont="1" applyFill="1" applyBorder="1"/>
    <x:xf numFmtId="200" fontId="6" fillId="6" borderId="1" xfId="0" applyNumberFormat="1" applyFont="1" applyFill="1" applyBorder="1"/>
    <x:xf numFmtId="201" fontId="5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5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10" fillId="8" borderId="1" xfId="0" applyNumberFormat="1" applyFont="1" applyFill="1" applyBorder="1"/>
    <x:xf numFmtId="0" fontId="10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0" fillId="9" borderId="1" xfId="0" applyNumberFormat="1" applyFont="1" applyFill="1" applyBorder="1"/>
    <x:xf numFmtId="0" fontId="11" fillId="9" borderId="1" xfId="0" applyNumberFormat="1" applyFont="1" applyFill="1" applyBorder="1"/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12" fillId="10" borderId="1" xfId="0" applyNumberFormat="1" applyFont="1" applyFill="1" applyBorder="1"/>
    <x:xf numFmtId="0" fontId="12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/>
    <x:xf numFmtId="0" fontId="13" fillId="11" borderId="1" xfId="0" applyNumberFormat="1" applyFont="1" applyFill="1" applyBorder="1"/>
    <x:xf numFmtId="0" fontId="13" fillId="11" borderId="1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0" xfId="0" applyNumberFormat="1" applyFont="1" applyFill="1" applyBorder="1" applyAlignment="1">
      <x:alignment wrapText="1"/>
    </x:xf>
    <x:xf numFmtId="0" fontId="0" fillId="12" borderId="1" xfId="0" applyNumberFormat="1" applyFont="1" applyFill="1" applyBorder="1"/>
    <x:xf numFmtId="0" fontId="13" fillId="12" borderId="1" xfId="0" applyNumberFormat="1" applyFont="1" applyFill="1" applyBorder="1"/>
    <x:xf numFmtId="0" fontId="13" fillId="12" borderId="1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0" fillId="13" borderId="1" xfId="0" applyNumberFormat="1" applyFont="1" applyFill="1" applyBorder="1"/>
    <x:xf numFmtId="0" fontId="5" fillId="13" borderId="1" xfId="0" applyNumberFormat="1" applyFont="1" applyFill="1" applyBorder="1"/>
    <x:xf numFmtId="0" fontId="5" fillId="13" borderId="1" xfId="0" applyNumberFormat="1" applyFont="1" applyFill="1" applyBorder="1" applyAlignment="1">
      <x:alignment wrapText="1"/>
    </x:xf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5" fillId="12" borderId="1" xfId="0" applyNumberFormat="1" applyFont="1" applyFill="1" applyBorder="1"/>
    <x:xf numFmtId="0" fontId="5" fillId="12" borderId="1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4" fillId="14" borderId="0" xfId="0" applyNumberFormat="1" applyFont="1" applyFill="1" applyBorder="1"/>
    <x:xf numFmtId="0" fontId="0" fillId="14" borderId="1" xfId="0" applyNumberFormat="1" applyFont="1" applyFill="1" applyBorder="1"/>
    <x:xf numFmtId="0" fontId="14" fillId="14" borderId="1" xfId="0" applyNumberFormat="1" applyFont="1" applyFill="1" applyBorder="1"/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0" fillId="15" borderId="1" xfId="0" applyNumberFormat="1" applyFont="1" applyFill="1" applyBorder="1"/>
    <x:xf numFmtId="0" fontId="6" fillId="15" borderId="1" xfId="0" applyNumberFormat="1" applyFont="1" applyFill="1" applyBorder="1"/>
    <x:xf numFmtId="0" fontId="15" fillId="10" borderId="0" xfId="0" applyNumberFormat="1" applyFont="1" applyFill="1" applyBorder="1"/>
    <x:xf numFmtId="0" fontId="15" fillId="10" borderId="0" xfId="0" applyNumberFormat="1" applyFont="1" applyFill="1" applyBorder="1" applyAlignment="1">
      <x:alignment wrapText="1"/>
    </x:xf>
    <x:xf numFmtId="0" fontId="15" fillId="10" borderId="1" xfId="0" applyNumberFormat="1" applyFont="1" applyFill="1" applyBorder="1"/>
    <x:xf numFmtId="0" fontId="15" fillId="1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83"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FFF1D1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FFF1D1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FFF1D1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FFF1D1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FFF1D1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FFF1D1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FFF1D1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FFF1D1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FFF1D1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FFF1D1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FFF1D1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FFF1D1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FFF1D1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FFF1D1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  <x:dxf>
      <x:fill>
        <x:patternFill>
          <x:bgColor rgb="FFFFF1D1"/>
        </x:patternFill>
      </x:fill>
    </x:dxf>
    <x:dxf>
      <x:fill>
        <x:patternFill>
          <x:bgColor rgb="FFDFF6E9"/>
        </x:patternFill>
      </x:fill>
    </x:dxf>
    <x:dxf>
      <x:fill>
        <x:patternFill>
          <x:bgColor rgb="FFFCE0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e6b9d6caf1446a" /><Relationship Type="http://schemas.openxmlformats.org/officeDocument/2006/relationships/theme" Target="/xl/theme/theme1.xml" Id="Rf49faa326d7741dc" /><Relationship Type="http://schemas.openxmlformats.org/officeDocument/2006/relationships/sharedStrings" Target="/xl/sharedStrings.xml" Id="R2901536f02eb4920" /><Relationship Type="http://schemas.openxmlformats.org/officeDocument/2006/relationships/worksheet" Target="/xl/worksheets/sheet1.xml" Id="R14146501205d4732" /><Relationship Type="http://schemas.openxmlformats.org/officeDocument/2006/relationships/worksheet" Target="/xl/worksheets/sheet2.xml" Id="Re9f2281b9beb436c" /><Relationship Type="http://schemas.openxmlformats.org/officeDocument/2006/relationships/worksheet" Target="/xl/worksheets/sheet3.xml" Id="Re7d777ea7dae4fdc" /><Relationship Type="http://schemas.openxmlformats.org/officeDocument/2006/relationships/worksheet" Target="/xl/worksheets/sheet4.xml" Id="R5df212412f1f4113" /><Relationship Type="http://schemas.openxmlformats.org/officeDocument/2006/relationships/worksheet" Target="/xl/worksheets/sheet5.xml" Id="R80e8f97a112e4c86" /><Relationship Type="http://schemas.openxmlformats.org/officeDocument/2006/relationships/worksheet" Target="/xl/worksheets/sheet6.xml" Id="R5fdb4f6a651a4a07" /><Relationship Type="http://schemas.openxmlformats.org/officeDocument/2006/relationships/worksheet" Target="/xl/worksheets/sheet7.xml" Id="Rd287e147f9ff4207" /><Relationship Type="http://schemas.openxmlformats.org/officeDocument/2006/relationships/worksheet" Target="/xl/worksheets/sheet8.xml" Id="R923bc3eed76d4218" /><Relationship Type="http://schemas.openxmlformats.org/officeDocument/2006/relationships/worksheet" Target="/xl/worksheets/sheet9.xml" Id="R61c41ef36476471c" /><Relationship Type="http://schemas.openxmlformats.org/officeDocument/2006/relationships/worksheet" Target="/xl/worksheets/sheet10.xml" Id="R88293629e58740df" /><Relationship Type="http://schemas.openxmlformats.org/officeDocument/2006/relationships/worksheet" Target="/xl/worksheets/sheet11.xml" Id="Rae64a46eaf3d4427" /><Relationship Type="http://schemas.openxmlformats.org/officeDocument/2006/relationships/worksheet" Target="/xl/worksheets/sheet12.xml" Id="R2a38a6f20f0a42e2" /><Relationship Type="http://schemas.openxmlformats.org/officeDocument/2006/relationships/worksheet" Target="/xl/worksheets/sheet13.xml" Id="Rae53fda03e4f42a6" /><Relationship Type="http://schemas.openxmlformats.org/officeDocument/2006/relationships/worksheet" Target="/xl/worksheets/sheet14.xml" Id="Re7f1b707de6a447f" /><Relationship Type="http://schemas.openxmlformats.org/officeDocument/2006/relationships/worksheet" Target="/xl/worksheets/sheet15.xml" Id="R653f733f3d7b41b8" /><Relationship Type="http://schemas.openxmlformats.org/officeDocument/2006/relationships/worksheet" Target="/xl/worksheets/sheet16.xml" Id="R4cb86ccc3ff749cf" /><Relationship Type="http://schemas.openxmlformats.org/officeDocument/2006/relationships/worksheet" Target="/xl/worksheets/sheet17.xml" Id="R7374b0022e4c47bf" /><Relationship Type="http://schemas.openxmlformats.org/officeDocument/2006/relationships/worksheet" Target="/xl/worksheets/sheet18.xml" Id="R081933232ac846a3" /><Relationship Type="http://schemas.openxmlformats.org/officeDocument/2006/relationships/worksheet" Target="/xl/worksheets/sheet19.xml" Id="Refb4281b449b40b3" /><Relationship Type="http://schemas.openxmlformats.org/officeDocument/2006/relationships/worksheet" Target="/xl/worksheets/sheet20.xml" Id="R7ff95cc0be00430f" /><Relationship Type="http://schemas.openxmlformats.org/officeDocument/2006/relationships/worksheet" Target="/xl/worksheets/sheet21.xml" Id="R767dee186ebe4bf1" /><Relationship Type="http://schemas.openxmlformats.org/officeDocument/2006/relationships/worksheet" Target="/xl/worksheets/sheet22.xml" Id="Re85a638d9fb54117" /><Relationship Type="http://schemas.openxmlformats.org/officeDocument/2006/relationships/worksheet" Target="/xl/worksheets/sheet23.xml" Id="Rf1389f45c79e4e8b" /><Relationship Type="http://schemas.openxmlformats.org/officeDocument/2006/relationships/worksheet" Target="/xl/worksheets/sheet24.xml" Id="Rf892882b26454f9b" /><Relationship Type="http://schemas.openxmlformats.org/officeDocument/2006/relationships/worksheet" Target="/xl/worksheets/sheet25.xml" Id="Rc202c6ee4abb40d4" /><Relationship Type="http://schemas.openxmlformats.org/officeDocument/2006/relationships/worksheet" Target="/xl/worksheets/sheet26.xml" Id="Rb12eb4e20a6b4335" /><Relationship Type="http://schemas.openxmlformats.org/officeDocument/2006/relationships/worksheet" Target="/xl/worksheets/sheet27.xml" Id="Rb94f9a85997d42dd" /><Relationship Type="http://schemas.openxmlformats.org/officeDocument/2006/relationships/worksheet" Target="/xl/worksheets/sheet28.xml" Id="Re469730366a148ee" /><Relationship Type="http://schemas.openxmlformats.org/officeDocument/2006/relationships/worksheet" Target="/xl/worksheets/sheet29.xml" Id="Rd22484a233b74896" /><Relationship Type="http://schemas.openxmlformats.org/officeDocument/2006/relationships/worksheet" Target="/xl/worksheets/sheet30.xml" Id="Rd2472b07167c434c" /><Relationship Type="http://schemas.openxmlformats.org/officeDocument/2006/relationships/worksheet" Target="/xl/worksheets/sheet31.xml" Id="R87ee34f47ece4adc" /><Relationship Type="http://schemas.openxmlformats.org/officeDocument/2006/relationships/worksheet" Target="/xl/worksheets/sheet32.xml" Id="R9d791d8fb8124f86" /><Relationship Type="http://schemas.openxmlformats.org/officeDocument/2006/relationships/worksheet" Target="/xl/worksheets/sheet33.xml" Id="R66b9d59e99774086" /><Relationship Type="http://schemas.openxmlformats.org/officeDocument/2006/relationships/worksheet" Target="/xl/worksheets/sheet34.xml" Id="R17dcabbfe6ff48c8" /><Relationship Type="http://schemas.openxmlformats.org/officeDocument/2006/relationships/worksheet" Target="/xl/worksheets/sheet35.xml" Id="R646695eb940d4f76" /><Relationship Type="http://schemas.openxmlformats.org/officeDocument/2006/relationships/worksheet" Target="/xl/worksheets/sheet36.xml" Id="R7723919a1c554b82" /><Relationship Type="http://schemas.openxmlformats.org/officeDocument/2006/relationships/worksheet" Target="/xl/worksheets/sheet37.xml" Id="Raab150ea27af478e" /><Relationship Type="http://schemas.openxmlformats.org/officeDocument/2006/relationships/worksheet" Target="/xl/worksheets/sheet38.xml" Id="R52aa4569fa6a4e41" /><Relationship Type="http://schemas.openxmlformats.org/officeDocument/2006/relationships/worksheet" Target="/xl/worksheets/sheet39.xml" Id="R786e6bca89944b3d" /><Relationship Type="http://schemas.openxmlformats.org/officeDocument/2006/relationships/worksheet" Target="/xl/worksheets/sheet40.xml" Id="Ra9c9bcfe3647406c" /><Relationship Type="http://schemas.openxmlformats.org/officeDocument/2006/relationships/worksheet" Target="/xl/worksheets/sheet41.xml" Id="Rae54e69ed77541fe" /><Relationship Type="http://schemas.openxmlformats.org/officeDocument/2006/relationships/worksheet" Target="/xl/worksheets/sheet42.xml" Id="R17ea7b1c8f344e98" /><Relationship Type="http://schemas.openxmlformats.org/officeDocument/2006/relationships/worksheet" Target="/xl/worksheets/sheet43.xml" Id="R101136ffdb6f4ef8" /></Relationships>
</file>

<file path=xl/tables/table1.xml><?xml version="1.0" encoding="utf-8"?>
<x:table xmlns:x="http://schemas.openxmlformats.org/spreadsheetml/2006/main" id="1" name="T07" displayName="T07" ref="A5:K29" headerRowCount="1" totalsRowCount="0" totalsRowShown="0">
  <x:tableColumns count="11">
    <x:tableColumn id="1" name="ID"/>
    <x:tableColumn id="2" name="الفصل"/>
    <x:tableColumn id="3" name="اسم المرحلة"/>
    <x:tableColumn id="4" name="الميكانيك"/>
    <x:tableColumn id="5" name="فعل اللاعب"/>
    <x:tableColumn id="6" name="شرط الفتح"/>
    <x:tableColumn id="7" name="المكافأة/التالي"/>
    <x:tableColumn id="8" name="المكان"/>
    <x:tableColumn id="9" name="المدة المستهدفة"/>
    <x:tableColumn id="10" name="الحالة"/>
    <x:tableColumn id="11" name="الأولوي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08" displayName="T08" ref="A5:K40" headerRowCount="1" totalsRowCount="0" totalsRowShown="0">
  <x:tableColumns count="11">
    <x:tableColumn id="1" name="ID"/>
    <x:tableColumn id="2" name="الفصل"/>
    <x:tableColumn id="3" name="اسم اللغز"/>
    <x:tableColumn id="4" name="هدف اللاعب"/>
    <x:tableColumn id="5" name="طريقة اللعب"/>
    <x:tableColumn id="6" name="ما يراه اللاعب"/>
    <x:tableColumn id="7" name="الفشل/التغذية الراجعة"/>
    <x:tableColumn id="8" name="المفهوم العلمي"/>
    <x:tableColumn id="9" name="نوع التحدي"/>
    <x:tableColumn id="10" name="الحالة"/>
    <x:tableColumn id="11" name="الأولوية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17" displayName="T17" ref="A5:H29" headerRowCount="1" totalsRowCount="0" totalsRowShown="0">
  <x:tableColumns count="8">
    <x:tableColumn id="1" name="ID"/>
    <x:tableColumn id="2" name="الادعاء في المنتج"/>
    <x:tableColumn id="3" name="نوع الادعاء"/>
    <x:tableColumn id="4" name="مصدر"/>
    <x:tableColumn id="5" name="حالة التحقق/التحذير"/>
    <x:tableColumn id="6" name="موضع الاستخدام"/>
    <x:tableColumn id="7" name="الأولوية"/>
    <x:tableColumn id="8" name="نوع الإجرا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21" displayName="T21" ref="A5:I103" headerRowCount="1" totalsRowCount="0" totalsRowShown="0">
  <x:tableColumns count="9">
    <x:tableColumn id="1" name="ID"/>
    <x:tableColumn id="2" name="المهمة"/>
    <x:tableColumn id="3" name="مالك الدور"/>
    <x:tableColumn id="4" name="معيار القبول"/>
    <x:tableColumn id="5" name="الأولوية"/>
    <x:tableColumn id="6" name="الحالة"/>
    <x:tableColumn id="7" name="مرجع"/>
    <x:tableColumn id="8" name="النافذة الزمنية"/>
    <x:tableColumn id="9" name="الترتي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23" displayName="T23" ref="A5:I59" headerRowCount="1" totalsRowCount="0" totalsRowShown="0">
  <x:tableColumns count="9">
    <x:tableColumn id="1" name="ID"/>
    <x:tableColumn id="2" name="الفئة"/>
    <x:tableColumn id="3" name="السيناريو"/>
    <x:tableColumn id="4" name="الخطوات"/>
    <x:tableColumn id="5" name="النتيجة المتوقعة"/>
    <x:tableColumn id="6" name="الحالة"/>
    <x:tableColumn id="7" name="الأولوية"/>
    <x:tableColumn id="8" name="المرجع"/>
    <x:tableColumn id="9" name="رابط الدليل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24" displayName="T24" ref="A5:K35" headerRowCount="1" totalsRowCount="0" totalsRowShown="0">
  <x:tableColumns count="11">
    <x:tableColumn id="1" name="ID"/>
    <x:tableColumn id="2" name="الخطر"/>
    <x:tableColumn id="3" name="التصنيف"/>
    <x:tableColumn id="4" name="احتمال 1–5"/>
    <x:tableColumn id="5" name="أثر 1–5"/>
    <x:tableColumn id="6" name="الدرجة P×I"/>
    <x:tableColumn id="7" name="نتيجة الخطر"/>
    <x:tableColumn id="8" name="الإجراء الوقائي"/>
    <x:tableColumn id="9" name="المالك"/>
    <x:tableColumn id="10" name="الحالة"/>
    <x:tableColumn id="11" name="المصدر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25" displayName="T25" ref="A5:H30" headerRowCount="1" totalsRowCount="0" totalsRowShown="0">
  <x:tableColumns count="8">
    <x:tableColumn id="1" name="ID"/>
    <x:tableColumn id="2" name="محور التقييم"/>
    <x:tableColumn id="3" name="شرط الإقناع"/>
    <x:tableColumn id="4" name="كيف نبرهن"/>
    <x:tableColumn id="5" name="دليل مطلوب"/>
    <x:tableColumn id="6" name="الحالة"/>
    <x:tableColumn id="7" name="المصدر"/>
    <x:tableColumn id="8" name="الأولوي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9e1438ea62594e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de8e66bb8e81412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3.xml" Id="R63e92b52bda94cb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4.xml" Id="R64a68e3ffc8540ad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5.xml" Id="Ra320b6240cec42e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6.xml" Id="R8121459029d8489d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7.xml" Id="Rc583a390677b4d6c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77" hidden="0" customWidth="1"/>
    <x:col min="3" max="3" width="81" hidden="0" customWidth="1"/>
    <x:col min="4" max="4" width="15" hidden="0" customWidth="1"/>
  </x:cols>
  <x:sheetData>
    <x:row r="1" ht="38" customHeight="1">
      <x:c r="A1" s="4" t="str">
        <x:v>ملخص تنفيذي</x:v>
      </x:c>
      <x:c r="B1" s="4"/>
      <x:c r="C1" s="4"/>
      <x:c r="D1" s="4"/>
    </x:row>
    <x:row r="2" ht="29" customHeight="1">
      <x:c r="A2" s="10" t="str">
        <x:v>الصورة الكاملة في صفحة واحدة: القيمة، الحدود، الجاهزية، والخطر التنظيمي</x:v>
      </x:c>
      <x:c r="B2" s="10"/>
      <x:c r="C2" s="10"/>
      <x:c r="D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</x:row>
    <x:row r="5" ht="34" customHeight="1">
      <x:c r="A5" s="21" t="str">
        <x:v>المحور</x:v>
      </x:c>
      <x:c r="B5" s="21" t="str">
        <x:v>التحديد النهائي</x:v>
      </x:c>
      <x:c r="C5" s="21" t="str">
        <x:v>ملاحظات/حدود</x:v>
      </x:c>
      <x:c r="D5" s="21" t="str">
        <x:v>الأولوية</x:v>
      </x:c>
    </x:row>
    <x:row r="6" ht="43" customHeight="1">
      <x:c r="A6" s="28" t="str">
        <x:v>اسم المنتج</x:v>
      </x:c>
      <x:c r="B6" s="28" t="str">
        <x:v>ECHOES OF SPACE: THE LAST SIGNAL</x:v>
      </x:c>
      <x:c r="C6" s="28" t="str">
        <x:v>هوية أصلية مستقلة؛ ليست لعبة رسمية من NASA</x:v>
      </x:c>
      <x:c r="D6" s="28" t="str">
        <x:v>P0</x:v>
      </x:c>
    </x:row>
    <x:row r="7" ht="43" customHeight="1">
      <x:c r="A7" s="28" t="str">
        <x:v>الوصف بجملة</x:v>
      </x:c>
      <x:c r="B7" s="28" t="str">
        <x:v>مغامرة فضائية تفاعلية تربط الأجهزة التي تركتها بعثات القمر والمريخ بإنجازاتها العلمية</x:v>
      </x:c>
      <x:c r="C7" s="28" t="str">
        <x:v>مقترح القيمة</x:v>
      </x:c>
      <x:c r="D7" s="28" t="str">
        <x:v>P0</x:v>
      </x:c>
    </x:row>
    <x:row r="8" ht="43" customHeight="1">
      <x:c r="A8" s="28" t="str">
        <x:v>الوعد الأساسي</x:v>
      </x:c>
      <x:c r="B8" s="28" t="str">
        <x:v>كل جهاز يحمل لغزًا؛ كل اكتشاف يفتح اتصالًا جديدًا في الأرشيف</x:v>
      </x:c>
      <x:c r="C8" s="28" t="str">
        <x:v>السرد يخدم تعلّم العلم ولا يستبدله</x:v>
      </x:c>
      <x:c r="D8" s="28" t="str">
        <x:v>P0</x:v>
      </x:c>
    </x:row>
    <x:row r="9" ht="43" customHeight="1">
      <x:c r="A9" s="28" t="str">
        <x:v>المشكلة</x:v>
      </x:c>
      <x:c r="B9" s="28" t="str">
        <x:v>قصة المعدات العلمية الميدانية غالبًا توصل كقراءة جامدة؛ اللعبة تجعل الأدلة قابلة للتجربة</x:v>
      </x:c>
      <x:c r="C9" s="28" t="str">
        <x:v>فرضية تصميم تحتاج اختبار طلابي</x:v>
      </x:c>
      <x:c r="D9" s="28" t="str">
        <x:v>P0</x:v>
      </x:c>
    </x:row>
    <x:row r="10" ht="43" customHeight="1">
      <x:c r="A10" s="28" t="str">
        <x:v>الفئة الأساسية</x:v>
      </x:c>
      <x:c r="B10" s="28" t="str">
        <x:v>12–18 سنة؛ لاعب يحب الاستكشاف والألغاز</x:v>
      </x:c>
      <x:c r="C10" s="28" t="str">
        <x:v>يحتاج اختبار مع قاصرين بموافقة مناسبة</x:v>
      </x:c>
      <x:c r="D10" s="28" t="str">
        <x:v>P0</x:v>
      </x:c>
    </x:row>
    <x:row r="11" ht="43" customHeight="1">
      <x:c r="A11" s="28" t="str">
        <x:v>الفئة الثانية</x:v>
      </x:c>
      <x:c r="B11" s="28" t="str">
        <x:v>المعلمون والمتاحف وأندية STEM وأولياء الأمور</x:v>
      </x:c>
      <x:c r="C11" s="28" t="str">
        <x:v>فرصة ما بعد المسابقة</x:v>
      </x:c>
      <x:c r="D11" s="28" t="str">
        <x:v>P1</x:v>
      </x:c>
    </x:row>
    <x:row r="12" ht="43" customHeight="1">
      <x:c r="A12" s="28" t="str">
        <x:v>اللغة</x:v>
      </x:c>
      <x:c r="B12" s="28" t="str">
        <x:v>العربية والإنجليزية مع RTL/LTR</x:v>
      </x:c>
      <x:c r="C12" s="28" t="str">
        <x:v>النسخة الحالية تدعم اللغتين بحسب README؛ يلزم تدقيق UI</x:v>
      </x:c>
      <x:c r="D12" s="28" t="str">
        <x:v>P0</x:v>
      </x:c>
    </x:row>
    <x:row r="13" ht="43" customHeight="1">
      <x:c r="A13" s="28" t="str">
        <x:v>التحدي</x:v>
      </x:c>
      <x:c r="B13" s="28" t="str">
        <x:v>Abandoned but not Forgotten</x:v>
      </x:c>
      <x:c r="C13" s="28" t="str">
        <x:v>تحويل آثار المعدات إلى سرد يجذب عشاق الفضاء في سن المدرسة</x:v>
      </x:c>
      <x:c r="D13" s="28" t="str">
        <x:v>P0</x:v>
      </x:c>
    </x:row>
    <x:row r="14" ht="43" customHeight="1">
      <x:c r="A14" s="28" t="str">
        <x:v>الحالة الفعلية</x:v>
      </x:c>
      <x:c r="B14" s="28" t="str">
        <x:v>SIGNALBREAK Genesis IV: فصل Apollo 15 + فصل Opportunity؛ Canvas 2D / مظهر 2.5D</x:v>
      </x:c>
      <x:c r="C14" s="28" t="str">
        <x:v>من README/فحص ملف؛ ليس اعتماد جودة مستقل</x:v>
      </x:c>
      <x:c r="D14" s="28" t="str">
        <x:v>P0</x:v>
      </x:c>
    </x:row>
    <x:row r="15" ht="43" customHeight="1">
      <x:c r="A15" s="28" t="str">
        <x:v>الفصل الأول</x:v>
      </x:c>
      <x:c r="B15" s="28" t="str">
        <x:v>Apollo 15 — The Silent Rover</x:v>
      </x:c>
      <x:c r="C15" s="28" t="str">
        <x:v>الاستكشاف، إصلاح شبكة، ربط أدلة، قيادة، تحليل عينات، استنتاج</x:v>
      </x:c>
      <x:c r="D15" s="28" t="str">
        <x:v>P0</x:v>
      </x:c>
    </x:row>
    <x:row r="16" ht="43" customHeight="1">
      <x:c r="A16" s="28" t="str">
        <x:v>الفصل الثاني</x:v>
      </x:c>
      <x:c r="B16" s="28" t="str">
        <x:v>Opportunity — The Last Light</x:v>
      </x:c>
      <x:c r="C16" s="28" t="str">
        <x:v>تجربة تربوية لطاقة مركبة شمسية وعاصفة غبار افتراضية</x:v>
      </x:c>
      <x:c r="D16" s="28" t="str">
        <x:v>P0</x:v>
      </x:c>
    </x:row>
    <x:row r="17" ht="43" customHeight="1">
      <x:c r="A17" s="28" t="str">
        <x:v>التوسعات</x:v>
      </x:c>
      <x:c r="B17" s="28" t="str">
        <x:v>InSight / Spirit / Phoenix / Apollo 17</x:v>
      </x:c>
      <x:c r="C17" s="28" t="str">
        <x:v>مؤجلة دون تضخيم تسليم 2026</x:v>
      </x:c>
      <x:c r="D17" s="28" t="str">
        <x:v>P2</x:v>
      </x:c>
    </x:row>
    <x:row r="18" ht="43" customHeight="1">
      <x:c r="A18" s="28" t="str">
        <x:v>حلقة اللعب</x:v>
      </x:c>
      <x:c r="B18" s="28" t="str">
        <x:v>استكشف ← اجمع ← اربط ← جرّب ← استنتج ← استعد الأرشيف</x:v>
      </x:c>
      <x:c r="C18" s="28" t="str">
        <x:v>محور بناء المهام كلها</x:v>
      </x:c>
      <x:c r="D18" s="28" t="str">
        <x:v>P0</x:v>
      </x:c>
    </x:row>
    <x:row r="19" ht="43" customHeight="1">
      <x:c r="A19" s="28" t="str">
        <x:v>الابتكار المقصود</x:v>
      </x:c>
      <x:c r="B19" s="28" t="str">
        <x:v>تقدم اللعبة يعتمد على فهم العلاقة بين الجهاز والأثر العلمي، وليس جمع نقاط فحسب</x:v>
      </x:c>
      <x:c r="C19" s="28" t="str">
        <x:v>ادعاء يحتاج مقارنة مع المنافسين وتجربة مستخدم</x:v>
      </x:c>
      <x:c r="D19" s="28" t="str">
        <x:v>P0</x:v>
      </x:c>
    </x:row>
    <x:row r="20" ht="43" customHeight="1">
      <x:c r="A20" s="28" t="str">
        <x:v>منهج الإثبات</x:v>
      </x:c>
      <x:c r="B20" s="28" t="str">
        <x:v>عرض عمل حي + مؤشرات تعلم + مصادر NASA + اختبارات واضحة</x:v>
      </x:c>
      <x:c r="C20" s="28" t="str">
        <x:v>لا نختلق نتائج اختبار</x:v>
      </x:c>
      <x:c r="D20" s="28" t="str">
        <x:v>P0</x:v>
      </x:c>
    </x:row>
    <x:row r="21" ht="43" customHeight="1">
      <x:c r="A21" s="28" t="str">
        <x:v>موعد المسابقة</x:v>
      </x:c>
      <x:c r="B21" s="28" t="str">
        <x:v>14–15 نوفمبر 2026</x:v>
      </x:c>
      <x:c r="C21" s="28" t="str">
        <x:v>حسب الموقع الرسمي S01</x:v>
      </x:c>
      <x:c r="D21" s="28" t="str">
        <x:v>P0</x:v>
      </x:c>
    </x:row>
    <x:row r="22" ht="43" customHeight="1">
      <x:c r="A22" s="28" t="str">
        <x:v>نافذة التسليم</x:v>
      </x:c>
      <x:c r="B22" s="28" t="str">
        <x:v>14 نوفمبر 09:00 حتى 15 نوفمبر 23:59 بالتوقيت المحلي</x:v>
      </x:c>
      <x:c r="C22" s="28" t="str">
        <x:v>تحقق توقيت الفعالية المرتبط بتسجيل الفريق S01</x:v>
      </x:c>
      <x:c r="D22" s="28" t="str">
        <x:v>P0</x:v>
      </x:c>
    </x:row>
    <x:row r="23" ht="43" customHeight="1">
      <x:c r="A23" s="28" t="str">
        <x:v>أعلى خطر</x:v>
      </x:c>
      <x:c r="B23" s="28" t="str">
        <x:v>قد تمنع تعليمات 2026 تطوير الحل المقدم قبل بداية الهاكاثون</x:v>
      </x:c>
      <x:c r="C23" s="28" t="str">
        <x:v>يلزم توضيح رسمي؛ لا تعتبر النسخ السابقة تلقائيًا مؤهلة S03</x:v>
      </x:c>
      <x:c r="D23" s="28" t="str">
        <x:v>حرج</x:v>
      </x:c>
    </x:row>
    <x:row r="24" ht="43" customHeight="1">
      <x:c r="A24" s="28" t="str">
        <x:v>من يحكم القبول؟</x:v>
      </x:c>
      <x:c r="B24" s="28" t="str">
        <x:v>لجان NASA Space Apps ومسار التحكيم الرسمي</x:v>
      </x:c>
      <x:c r="C24" s="28" t="str">
        <x:v>ملف Excel أداة ضبط جودة لا حكم قبول</x:v>
      </x:c>
      <x:c r="D24" s="28" t="str">
        <x:v>P0</x:v>
      </x:c>
    </x:row>
    <x:row r="25" ht="43" customHeight="1">
      <x:c r="A25" s="28" t="str">
        <x:v>شرط النشر</x:v>
      </x:c>
      <x:c r="B25" s="28" t="str">
        <x:v>نسخة تعمل + صفحة مشروع مستوفاة + وضوح ما بني خلال الهاكاثون</x:v>
      </x:c>
      <x:c r="C25" s="28" t="str">
        <x:v>لا نعتبر اللعب قبل الموعد دليل أهلية</x:v>
      </x:c>
      <x:c r="D25" s="28" t="str">
        <x:v>حرج</x:v>
      </x:c>
    </x:row>
    <x:row r="26" ht="43" customHeight="1">
      <x:c r="A26" s="28" t="str">
        <x:v>التمييز الرئيسي</x:v>
      </x:c>
      <x:c r="B26" s="28" t="str">
        <x:v>المتحف لا يفتح إلا بعد بناء استنتاج مدعوم؛ القصة تسرد عبر الأفعال</x:v>
      </x:c>
      <x:c r="C26" s="28" t="str">
        <x:v>مقترح يحتاج اختبار التعلم</x:v>
      </x:c>
      <x:c r="D26" s="28" t="str">
        <x:v>P0</x:v>
      </x:c>
    </x:row>
    <x:row r="27" ht="43" customHeight="1">
      <x:c r="A27" s="28" t="str">
        <x:v>مسار المشروع</x:v>
      </x:c>
      <x:c r="B27" s="28" t="str">
        <x:v>التحضير المسموح الآن / تنفيذ امتثال وقت الهاكاثون / تقديم وتوثيق</x:v>
      </x:c>
      <x:c r="C27" s="28" t="str">
        <x:v>متطلبات الأهلية تسبق خطط التطوير</x:v>
      </x:c>
      <x:c r="D27" s="28" t="str">
        <x:v>حرج</x:v>
      </x:c>
    </x:row>
    <x:row r="30" ht="24" customHeight="1">
      <x:c r="A30" s="19" t="str">
        <x:v>طريقة الاعتماد</x:v>
      </x:c>
      <x:c r="B30" s="19"/>
      <x:c r="C30" s="19"/>
      <x:c r="D30" s="19"/>
    </x:row>
    <x:row r="31" ht="45" customHeight="1">
      <x:c r="B31" s="108" t="str">
        <x:v>هذا المصنف مرجع شامل للاختيار والتنفيذ والتوثيق؛ لا يحدد القبول لدى NASA. راجع الأهلية أولًا.</x:v>
      </x:c>
    </x:row>
  </x:sheetData>
  <x:mergeCells>
    <x:mergeCell ref="A1:D1"/>
    <x:mergeCell ref="A2:D2"/>
    <x:mergeCell ref="A3:D3"/>
  </x:mergeCells>
  <x:conditionalFormatting sqref="D6:D27">
    <x:cfRule type="expression" dxfId="0" priority="1">
      <x:formula>D6="P0"</x:formula>
    </x:cfRule>
    <x:cfRule type="expression" dxfId="1" priority="2">
      <x:formula>D6="حرج"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73" hidden="0" customWidth="1"/>
    <x:col min="3" max="3" width="58" hidden="0" customWidth="1"/>
    <x:col min="4" max="4" width="15" hidden="0" customWidth="1"/>
    <x:col min="5" max="5" width="13" hidden="0" customWidth="1"/>
    <x:col min="6" max="6" width="83" hidden="0" customWidth="1"/>
  </x:cols>
  <x:sheetData>
    <x:row r="1" ht="38" customHeight="1">
      <x:c r="A1" s="4" t="str">
        <x:v>التحدي والمتطلبات</x:v>
      </x:c>
      <x:c r="B1" s="4"/>
      <x:c r="C1" s="4"/>
      <x:c r="D1" s="4"/>
      <x:c r="E1" s="4"/>
      <x:c r="F1" s="4"/>
    </x:row>
    <x:row r="2" ht="29" customHeight="1">
      <x:c r="A2" s="10" t="str">
        <x:v>صياغة التحدي وشروط المسابقة المثبتة والمخاطر التي تستلزم ردًا رسميًا</x:v>
      </x:c>
      <x:c r="B2" s="10"/>
      <x:c r="C2" s="10"/>
      <x:c r="D2" s="10"/>
      <x:c r="E2" s="10"/>
      <x:c r="F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</x:row>
    <x:row r="5" ht="34" customHeight="1">
      <x:c r="A5" s="21" t="str">
        <x:v>البند</x:v>
      </x:c>
      <x:c r="B5" s="21" t="str">
        <x:v>المطلب/الواقعة</x:v>
      </x:c>
      <x:c r="C5" s="21" t="str">
        <x:v>درجة التحقق</x:v>
      </x:c>
      <x:c r="D5" s="21" t="str">
        <x:v>المصدر</x:v>
      </x:c>
      <x:c r="E5" s="21" t="str">
        <x:v>الأولوية</x:v>
      </x:c>
      <x:c r="F5" s="21" t="str">
        <x:v>إجراء ضروري</x:v>
      </x:c>
    </x:row>
    <x:row r="6" ht="43" customHeight="1">
      <x:c r="A6" s="28" t="str">
        <x:v>الحدث</x:v>
      </x:c>
      <x:c r="B6" s="28" t="str">
        <x:v>14–15 نوفمبر 2026</x:v>
      </x:c>
      <x:c r="C6" s="28" t="str">
        <x:v>مؤكد بالموقع الرئيسي</x:v>
      </x:c>
      <x:c r="D6" s="28" t="str">
        <x:v>S01</x:v>
      </x:c>
      <x:c r="E6" s="28" t="str">
        <x:v>P0</x:v>
      </x:c>
      <x:c r="F6" s="28" t="str">
        <x:v>وثّق الشاشة/الرابط وتوقيت المدينة</x:v>
      </x:c>
    </x:row>
    <x:row r="7" ht="43" customHeight="1">
      <x:c r="A7" s="28" t="str">
        <x:v>فتح التسليم</x:v>
      </x:c>
      <x:c r="B7" s="28" t="str">
        <x:v>14 نوفمبر 2026، 09:00 محليًا</x:v>
      </x:c>
      <x:c r="C7" s="28" t="str">
        <x:v>مؤكد بالموقع الرئيسي</x:v>
      </x:c>
      <x:c r="D7" s="28" t="str">
        <x:v>S01</x:v>
      </x:c>
      <x:c r="E7" s="28" t="str">
        <x:v>P0</x:v>
      </x:c>
      <x:c r="F7" s="28" t="str">
        <x:v>جهز المستندات قبل الهاكاثون ضمن المسموح فقط</x:v>
      </x:c>
    </x:row>
    <x:row r="8" ht="43" customHeight="1">
      <x:c r="A8" s="28" t="str">
        <x:v>إغلاق التسليم</x:v>
      </x:c>
      <x:c r="B8" s="28" t="str">
        <x:v>15 نوفمبر 2026، 23:59 محليًا</x:v>
      </x:c>
      <x:c r="C8" s="28" t="str">
        <x:v>مؤكد بالموقع الرئيسي</x:v>
      </x:c>
      <x:c r="D8" s="28" t="str">
        <x:v>S01</x:v>
      </x:c>
      <x:c r="E8" s="28" t="str">
        <x:v>حرج</x:v>
      </x:c>
      <x:c r="F8" s="28" t="str">
        <x:v>لا تؤخر رفع المشروع لآخر لحظة</x:v>
      </x:c>
    </x:row>
    <x:row r="9" ht="43" customHeight="1">
      <x:c r="A9" s="28" t="str">
        <x:v>تشكيل الفريق</x:v>
      </x:c>
      <x:c r="B9" s="28" t="str">
        <x:v>بحد أقصى 6 مشاركين</x:v>
      </x:c>
      <x:c r="C9" s="28" t="str">
        <x:v>حسب الخطوة الرسمية للموقع</x:v>
      </x:c>
      <x:c r="D9" s="28" t="str">
        <x:v>S01</x:v>
      </x:c>
      <x:c r="E9" s="28" t="str">
        <x:v>P0</x:v>
      </x:c>
      <x:c r="F9" s="28" t="str">
        <x:v>تحقق من تسجيل كل عضو</x:v>
      </x:c>
    </x:row>
    <x:row r="10" ht="43" customHeight="1">
      <x:c r="A10" s="28" t="str">
        <x:v>هدف التحدي</x:v>
      </x:c>
      <x:c r="B10" s="28" t="str">
        <x:v>تقديم قصة المعدات التي تركتها NASA على القمر والمريخ وخارجها</x:v>
      </x:c>
      <x:c r="C10" s="28" t="str">
        <x:v>وصف تحدي 2026</x:v>
      </x:c>
      <x:c r="D10" s="28" t="str">
        <x:v>S02</x:v>
      </x:c>
      <x:c r="E10" s="28" t="str">
        <x:v>P0</x:v>
      </x:c>
      <x:c r="F10" s="28" t="str">
        <x:v>اعرض الجهاز والغرض العلمي والإنجاز</x:v>
      </x:c>
    </x:row>
    <x:row r="11" ht="43" customHeight="1">
      <x:c r="A11" s="28" t="str">
        <x:v>فئة المستفيدين</x:v>
      </x:c>
      <x:c r="B11" s="28" t="str">
        <x:v>عشاق الفضاء في سن المدرسة</x:v>
      </x:c>
      <x:c r="C11" s="28" t="str">
        <x:v>الوصف الرسمي</x:v>
      </x:c>
      <x:c r="D11" s="28" t="str">
        <x:v>S02</x:v>
      </x:c>
      <x:c r="E11" s="28" t="str">
        <x:v>P0</x:v>
      </x:c>
      <x:c r="F11" s="28" t="str">
        <x:v>اختبر الفهم المناسب للعمر</x:v>
      </x:c>
    </x:row>
    <x:row r="12" ht="43" customHeight="1">
      <x:c r="A12" s="28" t="str">
        <x:v>بداية العمل</x:v>
      </x:c>
      <x:c r="B12" s="28" t="str">
        <x:v>يوجد تنبيه فعالية رسمية يمنع بدء تطوير حل المسابقة قبل الهاكاثون</x:v>
      </x:c>
      <x:c r="C12" s="28" t="str">
        <x:v>توجيه صفحة فعالية محلية 2026؛ يحتاج تأكيد عام</x:v>
      </x:c>
      <x:c r="D12" s="28" t="str">
        <x:v>S03</x:v>
      </x:c>
      <x:c r="E12" s="28" t="str">
        <x:v>حرج</x:v>
      </x:c>
      <x:c r="F12" s="28" t="str">
        <x:v>استفسر كتابيًا من المنظمين عن الأكواد السابقة والقوالب</x:v>
      </x:c>
    </x:row>
    <x:row r="13" ht="43" customHeight="1">
      <x:c r="A13" s="28" t="str">
        <x:v>العمل السابق</x:v>
      </x:c>
      <x:c r="B13" s="28" t="str">
        <x:v>لدينا إصدارات قائمة قبل 14 نوفمبر</x:v>
      </x:c>
      <x:c r="C13" s="28" t="str">
        <x:v>حقيقة تخص المشروع؛ صلاحية تقديمها غير محسومة</x:v>
      </x:c>
      <x:c r="D13" s="28" t="str">
        <x:v>S29</x:v>
      </x:c>
      <x:c r="E13" s="28" t="str">
        <x:v>حرج</x:v>
      </x:c>
      <x:c r="F13" s="28" t="str">
        <x:v>لا تدّع تطويرها خلال 48 ساعة ولا ترفعها دون توجيه</x:v>
      </x:c>
    </x:row>
    <x:row r="14" ht="43" customHeight="1">
      <x:c r="A14" s="28" t="str">
        <x:v>التحضير المسموح</x:v>
      </x:c>
      <x:c r="B14" s="28" t="str">
        <x:v>دراسة، تعلّم، مصادر، تدريب، تنظيم فريق</x:v>
      </x:c>
      <x:c r="C14" s="28" t="str">
        <x:v>يُفهم من صفحات فعاليات 2026</x:v>
      </x:c>
      <x:c r="D14" s="28" t="str">
        <x:v>S03</x:v>
      </x:c>
      <x:c r="E14" s="28" t="str">
        <x:v>P0</x:v>
      </x:c>
      <x:c r="F14" s="28" t="str">
        <x:v>افصل ملف التصميم عن العمل التنفيذي</x:v>
      </x:c>
    </x:row>
    <x:row r="15" ht="43" customHeight="1">
      <x:c r="A15" s="28" t="str">
        <x:v>المعايير</x:v>
      </x:c>
      <x:c r="B15" s="28" t="str">
        <x:v>Impact/Creativity/Validity/Relevance/Presentation</x:v>
      </x:c>
      <x:c r="C15" s="28" t="str">
        <x:v>وردت في صفحة فعالية 2026 المحلية</x:v>
      </x:c>
      <x:c r="D15" s="28" t="str">
        <x:v>S04</x:v>
      </x:c>
      <x:c r="E15" s="28" t="str">
        <x:v>P0</x:v>
      </x:c>
      <x:c r="F15" s="28" t="str">
        <x:v>لا تفترض وزنًا رسميًا عالميًا محددًا</x:v>
      </x:c>
    </x:row>
    <x:row r="16" ht="43" customHeight="1">
      <x:c r="A16" s="28" t="str">
        <x:v>التقييم العالمي</x:v>
      </x:c>
      <x:c r="B16" s="28" t="str">
        <x:v>يمر المشروع بمراحل تقييم وترشيح</x:v>
      </x:c>
      <x:c r="C16" s="28" t="str">
        <x:v>ملخص فعالية 2026 محلية</x:v>
      </x:c>
      <x:c r="D16" s="28" t="str">
        <x:v>S04</x:v>
      </x:c>
      <x:c r="E16" s="28" t="str">
        <x:v>P0</x:v>
      </x:c>
      <x:c r="F16" s="28" t="str">
        <x:v>راجع شروط المسار المحلي</x:v>
      </x:c>
    </x:row>
    <x:row r="17" ht="43" customHeight="1">
      <x:c r="A17" s="28" t="str">
        <x:v>الديمو</x:v>
      </x:c>
      <x:c r="B17" s="28" t="str">
        <x:v>التقديم الفعلي يعتمد على صيغة فعالية الفريق</x:v>
      </x:c>
      <x:c r="C17" s="28" t="str">
        <x:v>غير متحقق بعد</x:v>
      </x:c>
      <x:c r="D17" s="28" t="str">
        <x:v>S01</x:v>
      </x:c>
      <x:c r="E17" s="28" t="str">
        <x:v>P0</x:v>
      </x:c>
      <x:c r="F17" s="28" t="str">
        <x:v>اسأل عن مدة الفيديو/العرض والصيغ</x:v>
      </x:c>
    </x:row>
    <x:row r="18" ht="43" customHeight="1">
      <x:c r="A18" s="28" t="str">
        <x:v>بيانات NASA</x:v>
      </x:c>
      <x:c r="B18" s="28" t="str">
        <x:v>تُستخدم مصادر مفتوحة وموثوقة مرتبطة بالحل</x:v>
      </x:c>
      <x:c r="C18" s="28" t="str">
        <x:v>تعليمات عامة وتحليل</x:v>
      </x:c>
      <x:c r="D18" s="28" t="str">
        <x:v>S05</x:v>
      </x:c>
      <x:c r="E18" s="28" t="str">
        <x:v>P0</x:v>
      </x:c>
      <x:c r="F18" s="28" t="str">
        <x:v>اعرض claim→source داخل المنتج</x:v>
      </x:c>
    </x:row>
    <x:row r="19" ht="43" customHeight="1">
      <x:c r="A19" s="28" t="str">
        <x:v>التراخيص</x:v>
      </x:c>
      <x:c r="B19" s="28" t="str">
        <x:v>أصول NASA لها ضوابط لا تساوي ملكية الشعار</x:v>
      </x:c>
      <x:c r="C19" s="28" t="str">
        <x:v>موثق NASA brand</x:v>
      </x:c>
      <x:c r="D19" s="28" t="str">
        <x:v>S13</x:v>
      </x:c>
      <x:c r="E19" s="28" t="str">
        <x:v>حرج</x:v>
      </x:c>
      <x:c r="F19" s="28" t="str">
        <x:v>لا توحي بالرعاية أو تعتمد شعار NASA هوية للشركة</x:v>
      </x:c>
    </x:row>
    <x:row r="20" ht="43" customHeight="1">
      <x:c r="A20" s="28" t="str">
        <x:v>السلوك الصادق</x:v>
      </x:c>
      <x:c r="B20" s="28" t="str">
        <x:v>ميّز بين محاكاة تعليمية ومجريات تاريخية</x:v>
      </x:c>
      <x:c r="C20" s="28" t="str">
        <x:v>قاعدة داخلية للمنتج</x:v>
      </x:c>
      <x:c r="D20" s="28" t="str">
        <x:v>S05</x:v>
      </x:c>
      <x:c r="E20" s="28" t="str">
        <x:v>P0</x:v>
      </x:c>
      <x:c r="F20" s="28" t="str">
        <x:v>لا توحي بأن Opportunity عادت تعمل</x:v>
      </x:c>
    </x:row>
  </x:sheetData>
  <x:mergeCells>
    <x:mergeCell ref="A1:F1"/>
    <x:mergeCell ref="A2:F2"/>
    <x:mergeCell ref="A3:F3"/>
  </x:mergeCells>
  <x:conditionalFormatting sqref="E6:E20">
    <x:cfRule type="expression" dxfId="2" priority="1">
      <x:formula>E6="P0"</x:formula>
    </x:cfRule>
    <x:cfRule type="expression" dxfId="3" priority="2">
      <x:formula>E6="حرج"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67" hidden="0" customWidth="1"/>
    <x:col min="3" max="3" width="70" hidden="0" customWidth="1"/>
    <x:col min="4" max="4" width="34" hidden="0" customWidth="1"/>
    <x:col min="5" max="5" width="25" hidden="0" customWidth="1"/>
    <x:col min="6" max="6" width="57" hidden="0" customWidth="1"/>
    <x:col min="7" max="7" width="23" hidden="0" customWidth="1"/>
    <x:col min="8" max="8" width="13" hidden="0" customWidth="1"/>
  </x:cols>
  <x:sheetData>
    <x:row r="1" ht="38" customHeight="1">
      <x:c r="A1" s="4" t="str">
        <x:v>الأهلية والتنظيم</x:v>
      </x:c>
      <x:c r="B1" s="4"/>
      <x:c r="C1" s="4"/>
      <x:c r="D1" s="4"/>
      <x:c r="E1" s="4"/>
      <x:c r="F1" s="4"/>
      <x:c r="G1" s="4"/>
      <x:c r="H1" s="4"/>
    </x:row>
    <x:row r="2" ht="29" customHeight="1">
      <x:c r="A2" s="10" t="str">
        <x:v>بوابة حاكمة: لا تُستخدم النسخ القديمة على أنها مبنية أثناء الهاكاثون دون توضيح رسمي</x:v>
      </x:c>
      <x:c r="B2" s="10"/>
      <x:c r="C2" s="10"/>
      <x:c r="D2" s="10"/>
      <x:c r="E2" s="10"/>
      <x:c r="F2" s="10"/>
      <x:c r="G2" s="10"/>
      <x:c r="H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  <x:c r="H3" s="15"/>
    </x:row>
    <x:row r="5" ht="34" customHeight="1">
      <x:c r="A5" s="21" t="str">
        <x:v>المعرف</x:v>
      </x:c>
      <x:c r="B5" s="21" t="str">
        <x:v>السؤال الحاسم</x:v>
      </x:c>
      <x:c r="C5" s="21" t="str">
        <x:v>سبب السؤال</x:v>
      </x:c>
      <x:c r="D5" s="21" t="str">
        <x:v>جهة الرد</x:v>
      </x:c>
      <x:c r="E5" s="21" t="str">
        <x:v>نتيجة الرد</x:v>
      </x:c>
      <x:c r="F5" s="21" t="str">
        <x:v>الدليل المطلوب</x:v>
      </x:c>
      <x:c r="G5" s="21" t="str">
        <x:v>الحالة</x:v>
      </x:c>
      <x:c r="H5" s="21" t="str">
        <x:v>مصدر</x:v>
      </x:c>
    </x:row>
    <x:row r="6" ht="43" customHeight="1">
      <x:c r="A6" s="28" t="str">
        <x:v>EL-01</x:v>
      </x:c>
      <x:c r="B6" s="28" t="str">
        <x:v>هل يُسمح بتقديم كود كُتب قبل يوم 14 نوفمبر؟</x:v>
      </x:c>
      <x:c r="C6" s="28" t="str">
        <x:v>إصدارات Genesis سابقة لتاريخ الهاكاثون</x:v>
      </x:c>
      <x:c r="D6" s="28" t="str">
        <x:v>فريق التنظيم العالمي أو Local Lead</x:v>
      </x:c>
      <x:c r="E6" s="28" t="str">
        <x:v>لم يُتحقق</x:v>
      </x:c>
      <x:c r="F6" s="28" t="str">
        <x:v>رد كتابي يحتفظ به الفريق</x:v>
      </x:c>
      <x:c r="G6" s="28" t="str">
        <x:v>محظور حتى التحقق</x:v>
      </x:c>
      <x:c r="H6" s="28" t="str">
        <x:v>S03</x:v>
      </x:c>
    </x:row>
    <x:row r="7" ht="43" customHeight="1">
      <x:c r="A7" s="28" t="str">
        <x:v>EL-02</x:v>
      </x:c>
      <x:c r="B7" s="28" t="str">
        <x:v>هل يجوز إعادة استخدام مكتبات أو قوالب مفتوحة المصدر سابقة؟</x:v>
      </x:c>
      <x:c r="C7" s="28" t="str">
        <x:v>قد تتطلب إعادة بناء بعض الأجزاء</x:v>
      </x:c>
      <x:c r="D7" s="28" t="str">
        <x:v>فريق التنظيم</x:v>
      </x:c>
      <x:c r="E7" s="28" t="str">
        <x:v>لم يُتحقق</x:v>
      </x:c>
      <x:c r="F7" s="28" t="str">
        <x:v>نص رسمي/رد</x:v>
      </x:c>
      <x:c r="G7" s="28" t="str">
        <x:v>محظور حتى التحقق</x:v>
      </x:c>
      <x:c r="H7" s="28" t="str">
        <x:v>S03</x:v>
      </x:c>
    </x:row>
    <x:row r="8" ht="43" customHeight="1">
      <x:c r="A8" s="28" t="str">
        <x:v>EL-03</x:v>
      </x:c>
      <x:c r="B8" s="28" t="str">
        <x:v>هل التخطيط التفصيلي قبل بداية الحدث مسموح؟</x:v>
      </x:c>
      <x:c r="C8" s="28" t="str">
        <x:v>المصنف الحالي عمل تحضيري</x:v>
      </x:c>
      <x:c r="D8" s="28" t="str">
        <x:v>فريق التنظيم</x:v>
      </x:c>
      <x:c r="E8" s="28" t="str">
        <x:v>لم يُتحقق</x:v>
      </x:c>
      <x:c r="F8" s="28" t="str">
        <x:v>توجيه رسمي</x:v>
      </x:c>
      <x:c r="G8" s="28" t="str">
        <x:v>محظور حتى التحقق</x:v>
      </x:c>
      <x:c r="H8" s="28" t="str">
        <x:v>S03</x:v>
      </x:c>
    </x:row>
    <x:row r="9" ht="43" customHeight="1">
      <x:c r="A9" s="28" t="str">
        <x:v>EL-04</x:v>
      </x:c>
      <x:c r="B9" s="28" t="str">
        <x:v>كيف نميز الكود المكتوب داخل 48 ساعة؟</x:v>
      </x:c>
      <x:c r="C9" s="28" t="str">
        <x:v>مصداقية خط الزمن</x:v>
      </x:c>
      <x:c r="D9" s="28" t="str">
        <x:v>قائد الفريق</x:v>
      </x:c>
      <x:c r="E9" s="28" t="str">
        <x:v>لم يُتحقق</x:v>
      </x:c>
      <x:c r="F9" s="28" t="str">
        <x:v>سجل commits مؤرخ + تسجيل شاشة</x:v>
      </x:c>
      <x:c r="G9" s="28" t="str">
        <x:v>محظور حتى التحقق</x:v>
      </x:c>
      <x:c r="H9" s="28" t="str">
        <x:v>S03</x:v>
      </x:c>
    </x:row>
    <x:row r="10" ht="43" customHeight="1">
      <x:c r="A10" s="28" t="str">
        <x:v>EL-05</x:v>
      </x:c>
      <x:c r="B10" s="28" t="str">
        <x:v>هل تلزم صفحة المشروع التي تظهر للمحكم؟</x:v>
      </x:c>
      <x:c r="C10" s="28" t="str">
        <x:v>الصفحة المطلوبة جزء من التسليم</x:v>
      </x:c>
      <x:c r="D10" s="28" t="str">
        <x:v>المنظم</x:v>
      </x:c>
      <x:c r="E10" s="28" t="str">
        <x:v>لم يُتحقق</x:v>
      </x:c>
      <x:c r="F10" s="28" t="str">
        <x:v>صورة نموذج تقديم</x:v>
      </x:c>
      <x:c r="G10" s="28" t="str">
        <x:v>محظور حتى التحقق</x:v>
      </x:c>
      <x:c r="H10" s="28" t="str">
        <x:v>S01</x:v>
      </x:c>
    </x:row>
    <x:row r="11" ht="43" customHeight="1">
      <x:c r="A11" s="28" t="str">
        <x:v>EL-06</x:v>
      </x:c>
      <x:c r="B11" s="28" t="str">
        <x:v>ما مدة عرض الفريق في فعالية التسجيل؟</x:v>
      </x:c>
      <x:c r="C11" s="28" t="str">
        <x:v>اختلاف الأعوام والفعاليات</x:v>
      </x:c>
      <x:c r="D11" s="28" t="str">
        <x:v>المنظم المحلي</x:v>
      </x:c>
      <x:c r="E11" s="28" t="str">
        <x:v>لم يُتحقق</x:v>
      </x:c>
      <x:c r="F11" s="28" t="str">
        <x:v>تعميم حديث</x:v>
      </x:c>
      <x:c r="G11" s="28" t="str">
        <x:v>يحتاج تحقق</x:v>
      </x:c>
      <x:c r="H11" s="28" t="str">
        <x:v>S01</x:v>
      </x:c>
    </x:row>
    <x:row r="12" ht="43" customHeight="1">
      <x:c r="A12" s="28" t="str">
        <x:v>EL-07</x:v>
      </x:c>
      <x:c r="B12" s="28" t="str">
        <x:v>ما صيغة فيديو المشروع؟</x:v>
      </x:c>
      <x:c r="C12" s="28" t="str">
        <x:v>رفع فيديو قد يكون مطلوبًا</x:v>
      </x:c>
      <x:c r="D12" s="28" t="str">
        <x:v>المنظم</x:v>
      </x:c>
      <x:c r="E12" s="28" t="str">
        <x:v>لم يُتحقق</x:v>
      </x:c>
      <x:c r="F12" s="28" t="str">
        <x:v>تعليمات 2026</x:v>
      </x:c>
      <x:c r="G12" s="28" t="str">
        <x:v>يحتاج تحقق</x:v>
      </x:c>
      <x:c r="H12" s="28" t="str">
        <x:v>S01</x:v>
      </x:c>
    </x:row>
    <x:row r="13" ht="43" customHeight="1">
      <x:c r="A13" s="28" t="str">
        <x:v>EL-08</x:v>
      </x:c>
      <x:c r="B13" s="28" t="str">
        <x:v>هل مطلوب مستودع عام؟</x:v>
      </x:c>
      <x:c r="C13" s="28" t="str">
        <x:v>التحقق من المشروع وحقوق الأصول</x:v>
      </x:c>
      <x:c r="D13" s="28" t="str">
        <x:v>المنظم</x:v>
      </x:c>
      <x:c r="E13" s="28" t="str">
        <x:v>لم يُتحقق</x:v>
      </x:c>
      <x:c r="F13" s="28" t="str">
        <x:v>تعليمات مشروع</x:v>
      </x:c>
      <x:c r="G13" s="28" t="str">
        <x:v>يحتاج تحقق</x:v>
      </x:c>
      <x:c r="H13" s="28" t="str">
        <x:v>S01</x:v>
      </x:c>
    </x:row>
    <x:row r="14" ht="43" customHeight="1">
      <x:c r="A14" s="28" t="str">
        <x:v>EL-09</x:v>
      </x:c>
      <x:c r="B14" s="28" t="str">
        <x:v>هل يحق للفريق تقديم ملف بتراخيص أصول طرف ثالث؟</x:v>
      </x:c>
      <x:c r="C14" s="28" t="str">
        <x:v>Kenney CC0 تسمح لكن يشترط إثبات الحزمة</x:v>
      </x:c>
      <x:c r="D14" s="28" t="str">
        <x:v>المنظم</x:v>
      </x:c>
      <x:c r="E14" s="28" t="str">
        <x:v>لم يُتحقق</x:v>
      </x:c>
      <x:c r="F14" s="28" t="str">
        <x:v>توجيه + سجل حقوق</x:v>
      </x:c>
      <x:c r="G14" s="28" t="str">
        <x:v>يحتاج تحقق</x:v>
      </x:c>
      <x:c r="H14" s="28" t="str">
        <x:v>S01</x:v>
      </x:c>
    </x:row>
    <x:row r="15" ht="43" customHeight="1">
      <x:c r="A15" s="28" t="str">
        <x:v>EL-10</x:v>
      </x:c>
      <x:c r="B15" s="28" t="str">
        <x:v>ما معايير التحكيم الدقيقة لعام 2026؟</x:v>
      </x:c>
      <x:c r="C15" s="28" t="str">
        <x:v>صفحات محلية تعرض خمسة محاور ولا أوزان عالمية</x:v>
      </x:c>
      <x:c r="D15" s="28" t="str">
        <x:v>المنظم</x:v>
      </x:c>
      <x:c r="E15" s="28" t="str">
        <x:v>لم يُتحقق</x:v>
      </x:c>
      <x:c r="F15" s="28" t="str">
        <x:v>دليل تحكيم 2026</x:v>
      </x:c>
      <x:c r="G15" s="28" t="str">
        <x:v>محظور حتى التحقق</x:v>
      </x:c>
      <x:c r="H15" s="28" t="str">
        <x:v>S01</x:v>
      </x:c>
    </x:row>
    <x:row r="16" ht="43" customHeight="1">
      <x:c r="A16" s="28" t="str">
        <x:v>EL-11</x:v>
      </x:c>
      <x:c r="B16" s="28" t="str">
        <x:v>هل يسمح بتقنيات AI وكيف يُصرح عنها؟</x:v>
      </x:c>
      <x:c r="C16" s="28" t="str">
        <x:v>الشفافية وعدم ادعاء الإبداع البشري المطلق</x:v>
      </x:c>
      <x:c r="D16" s="28" t="str">
        <x:v>المنظم</x:v>
      </x:c>
      <x:c r="E16" s="28" t="str">
        <x:v>لم يُتحقق</x:v>
      </x:c>
      <x:c r="F16" s="28" t="str">
        <x:v>سياسة 2026</x:v>
      </x:c>
      <x:c r="G16" s="28" t="str">
        <x:v>يحتاج تحقق</x:v>
      </x:c>
      <x:c r="H16" s="28" t="str">
        <x:v>S01</x:v>
      </x:c>
    </x:row>
    <x:row r="17" ht="43" customHeight="1">
      <x:c r="A17" s="28" t="str">
        <x:v>EL-12</x:v>
      </x:c>
      <x:c r="B17" s="28" t="str">
        <x:v>تاريخ وتوقيت آخر التسليم للفريق</x:v>
      </x:c>
      <x:c r="C17" s="28" t="str">
        <x:v>يستند لتوقيت Local Event</x:v>
      </x:c>
      <x:c r="D17" s="28" t="str">
        <x:v>مالك الفريق</x:v>
      </x:c>
      <x:c r="E17" s="28" t="str">
        <x:v>لم يُتحقق</x:v>
      </x:c>
      <x:c r="F17" s="28" t="str">
        <x:v>صورة من لوحة التقديم</x:v>
      </x:c>
      <x:c r="G17" s="28" t="str">
        <x:v>محظور حتى التحقق</x:v>
      </x:c>
      <x:c r="H17" s="28" t="str">
        <x:v>S01</x:v>
      </x:c>
    </x:row>
    <x:row r="18" ht="43" customHeight="1">
      <x:c r="A18" s="28" t="str">
        <x:v>EL-13</x:v>
      </x:c>
      <x:c r="B18" s="28" t="str">
        <x:v>ماذا لو تعطل الموقع في آخر ساعة؟</x:v>
      </x:c>
      <x:c r="C18" s="28" t="str">
        <x:v>مخاطرة فقدان التسليم</x:v>
      </x:c>
      <x:c r="D18" s="28" t="str">
        <x:v>المنظم</x:v>
      </x:c>
      <x:c r="E18" s="28" t="str">
        <x:v>لم يُتحقق</x:v>
      </x:c>
      <x:c r="F18" s="28" t="str">
        <x:v>خطة طوارئ معتمدة</x:v>
      </x:c>
      <x:c r="G18" s="28" t="str">
        <x:v>يحتاج تحقق</x:v>
      </x:c>
      <x:c r="H18" s="28" t="str">
        <x:v>S01</x:v>
      </x:c>
    </x:row>
    <x:row r="19" ht="43" customHeight="1">
      <x:c r="A19" s="28" t="str">
        <x:v>EL-14</x:v>
      </x:c>
      <x:c r="B19" s="28" t="str">
        <x:v>هل المنافسة في 2026 تتطلب البيانات بصيغة معينة؟</x:v>
      </x:c>
      <x:c r="C19" s="28" t="str">
        <x:v>توافق المصادر والملفات</x:v>
      </x:c>
      <x:c r="D19" s="28" t="str">
        <x:v>منسق المحتوى</x:v>
      </x:c>
      <x:c r="E19" s="28" t="str">
        <x:v>لم يُتحقق</x:v>
      </x:c>
      <x:c r="F19" s="28" t="str">
        <x:v>شرح التحدي النهائي</x:v>
      </x:c>
      <x:c r="G19" s="28" t="str">
        <x:v>يحتاج تحقق</x:v>
      </x:c>
      <x:c r="H19" s="28" t="str">
        <x:v>S01</x:v>
      </x:c>
    </x:row>
    <x:row r="20" ht="43" customHeight="1">
      <x:c r="A20" s="28" t="str">
        <x:v>EL-15</x:v>
      </x:c>
      <x:c r="B20" s="28" t="str">
        <x:v>النسخة التي سيتم تقديمها، ما التزام نسب تطويرها خلال الحدث؟</x:v>
      </x:c>
      <x:c r="C20" s="28" t="str">
        <x:v>منع اللبس حول العمل السابق</x:v>
      </x:c>
      <x:c r="D20" s="28" t="str">
        <x:v>قائد الفريق</x:v>
      </x:c>
      <x:c r="E20" s="28" t="str">
        <x:v>لم يُتحقق</x:v>
      </x:c>
      <x:c r="F20" s="28" t="str">
        <x:v>قرار ونطاق موثق</x:v>
      </x:c>
      <x:c r="G20" s="28" t="str">
        <x:v>محظور حتى التحقق</x:v>
      </x:c>
      <x:c r="H20" s="28" t="str">
        <x:v>S03</x:v>
      </x:c>
    </x:row>
  </x:sheetData>
  <x:mergeCells>
    <x:mergeCell ref="A1:H1"/>
    <x:mergeCell ref="A2:H2"/>
    <x:mergeCell ref="A3:H3"/>
  </x:mergeCells>
  <x:conditionalFormatting sqref="G6:G20">
    <x:cfRule type="expression" dxfId="4" priority="1">
      <x:formula>G6="مكتمل"</x:formula>
    </x:cfRule>
    <x:cfRule type="expression" dxfId="5" priority="2">
      <x:formula>G6="محظور حتى التحقق"</x:formula>
    </x:cfRule>
    <x:cfRule type="expression" dxfId="6" priority="3">
      <x:formula>G6="يحتاج تحقق"</x:formula>
    </x:cfRule>
  </x:conditionalFormatting>
  <x:dataValidations count="1">
    <x:dataValidation type="list" sqref="G6:G20">
      <x:formula1>"موجود حاليًا,قيد التطوير,مخطط,يحتاج تحقق,مكتمل,لم يبدأ,مؤجل,محظور حتى التحقق,غير منطبق"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52" hidden="0" customWidth="1"/>
    <x:col min="3" max="3" width="78" hidden="0" customWidth="1"/>
    <x:col min="4" max="4" width="74" hidden="0" customWidth="1"/>
    <x:col min="5" max="5" width="14" hidden="0" customWidth="1"/>
  </x:cols>
  <x:sheetData>
    <x:row r="1" ht="38" customHeight="1">
      <x:c r="A1" s="4" t="str">
        <x:v>رؤية اللعبة</x:v>
      </x:c>
      <x:c r="B1" s="4"/>
      <x:c r="C1" s="4"/>
      <x:c r="D1" s="4"/>
      <x:c r="E1" s="4"/>
    </x:row>
    <x:row r="2" ht="29" customHeight="1">
      <x:c r="A2" s="10" t="str">
        <x:v>قواعد المنتج غير القابلة للتنازل: لعبة قصصية علمية قابلة للتشغيل، لا مقالة تفاعلية</x:v>
      </x:c>
      <x:c r="B2" s="10"/>
      <x:c r="C2" s="10"/>
      <x:c r="D2" s="10"/>
      <x:c r="E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</x:row>
    <x:row r="5" ht="34" customHeight="1">
      <x:c r="A5" s="21" t="str">
        <x:v>المجال</x:v>
      </x:c>
      <x:c r="B5" s="21" t="str">
        <x:v>قرار التصميم</x:v>
      </x:c>
      <x:c r="C5" s="21" t="str">
        <x:v>كيف يُطبق</x:v>
      </x:c>
      <x:c r="D5" s="21" t="str">
        <x:v>معيار فحص</x:v>
      </x:c>
      <x:c r="E5" s="21" t="str">
        <x:v>الأولوية</x:v>
      </x:c>
    </x:row>
    <x:row r="6" ht="43" customHeight="1">
      <x:c r="A6" s="28" t="str">
        <x:v>الوعد</x:v>
      </x:c>
      <x:c r="B6" s="28" t="str">
        <x:v>Fun through science</x:v>
      </x:c>
      <x:c r="C6" s="28" t="str">
        <x:v>نتعلم بإصلاح الآثار العلمية لا بقراءة امتحان</x:v>
      </x:c>
      <x:c r="D6" s="28" t="str">
        <x:v>لا نبدأ بدروس إلزامية</x:v>
      </x:c>
      <x:c r="E6" s="28" t="str">
        <x:v>P0</x:v>
      </x:c>
    </x:row>
    <x:row r="7" ht="43" customHeight="1">
      <x:c r="A7" s="28" t="str">
        <x:v>القصة</x:v>
      </x:c>
      <x:c r="B7" s="28" t="str">
        <x:v>ORIGIN يبحث عن الروابط المفقودة</x:v>
      </x:c>
      <x:c r="C7" s="28" t="str">
        <x:v>ذكاء اصطناعي ECHO واللاعب Explorer</x:v>
      </x:c>
      <x:c r="D7" s="28" t="str">
        <x:v>محاكاة خيالية مؤطرة من أول ظهور</x:v>
      </x:c>
      <x:c r="E7" s="28" t="str">
        <x:v>P0</x:v>
      </x:c>
    </x:row>
    <x:row r="8" ht="43" customHeight="1">
      <x:c r="A8" s="28" t="str">
        <x:v>هدف اللاعب</x:v>
      </x:c>
      <x:c r="B8" s="28" t="str">
        <x:v>استعادة الروابط بين الآلات والإنجازات</x:v>
      </x:c>
      <x:c r="C8" s="28" t="str">
        <x:v>فك شفرة أدلة ومشاهد العالم</x:v>
      </x:c>
      <x:c r="D8" s="28" t="str">
        <x:v>المعلم يرى استدلالًا لا نقرًا عشوائيًا</x:v>
      </x:c>
      <x:c r="E8" s="28" t="str">
        <x:v>P0</x:v>
      </x:c>
    </x:row>
    <x:row r="9" ht="43" customHeight="1">
      <x:c r="A9" s="28" t="str">
        <x:v>التصنيف</x:v>
      </x:c>
      <x:c r="B9" s="28" t="str">
        <x:v>مغامرة + ألغاز تحقيق + تعليم STEM</x:v>
      </x:c>
      <x:c r="C9" s="28" t="str">
        <x:v>استكشاف أرضي وقيادة وإدارة موارد</x:v>
      </x:c>
      <x:c r="D9" s="28" t="str">
        <x:v>لا نصفها محاكاة NASA رسمية</x:v>
      </x:c>
      <x:c r="E9" s="28" t="str">
        <x:v>P0</x:v>
      </x:c>
    </x:row>
    <x:row r="10" ht="43" customHeight="1">
      <x:c r="A10" s="28" t="str">
        <x:v>المنظور الحالي</x:v>
      </x:c>
      <x:c r="B10" s="28" t="str">
        <x:v>2.5D Canvas إيزومتري بحسب الإصدار</x:v>
      </x:c>
      <x:c r="C10" s="28" t="str">
        <x:v>مناسب لنسخة الحدث القصيرة</x:v>
      </x:c>
      <x:c r="D10" s="28" t="str">
        <x:v>لا نعد برسومات 3D حقيقية قبل العمل عليها</x:v>
      </x:c>
      <x:c r="E10" s="28" t="str">
        <x:v>P0</x:v>
      </x:c>
    </x:row>
    <x:row r="11" ht="43" customHeight="1">
      <x:c r="A11" s="28" t="str">
        <x:v>رؤية بصرية مستقبلية</x:v>
      </x:c>
      <x:c r="B11" s="28" t="str">
        <x:v>بيئة 3D مقتصدة منخفضة poly</x:v>
      </x:c>
      <x:c r="C11" s="28" t="str">
        <x:v>التحكم والمتعة قبل المؤثرات</x:v>
      </x:c>
      <x:c r="D11" s="28" t="str">
        <x:v>مؤجلة إذا تؤثر على الأهلية/الوقت</x:v>
      </x:c>
      <x:c r="E11" s="28" t="str">
        <x:v>P2</x:v>
      </x:c>
    </x:row>
    <x:row r="12" ht="43" customHeight="1">
      <x:c r="A12" s="28" t="str">
        <x:v>الحلقة</x:v>
      </x:c>
      <x:c r="B12" s="28" t="str">
        <x:v>استكشاف→التقاط→ربط→تجربة→استنتاج→فتح</x:v>
      </x:c>
      <x:c r="C12" s="28" t="str">
        <x:v>كل انتقال متصل بقرار علمي</x:v>
      </x:c>
      <x:c r="D12" s="28" t="str">
        <x:v>اختبار تتابع منطقي</x:v>
      </x:c>
      <x:c r="E12" s="28" t="str">
        <x:v>P0</x:v>
      </x:c>
    </x:row>
    <x:row r="13" ht="43" customHeight="1">
      <x:c r="A13" s="28" t="str">
        <x:v>المرحلة</x:v>
      </x:c>
      <x:c r="B13" s="28" t="str">
        <x:v>مهمة Apollo 15 مكتملة المسار</x:v>
      </x:c>
      <x:c r="C13" s="28" t="str">
        <x:v>قمر + الأدلة + المركبة + المعمل</x:v>
      </x:c>
      <x:c r="D13" s="28" t="str">
        <x:v>عرضها يمكن أن يكون 5 دقائق</x:v>
      </x:c>
      <x:c r="E13" s="28" t="str">
        <x:v>P0</x:v>
      </x:c>
    </x:row>
    <x:row r="14" ht="43" customHeight="1">
      <x:c r="A14" s="28" t="str">
        <x:v>مرحلة ثانية</x:v>
      </x:c>
      <x:c r="B14" s="28" t="str">
        <x:v>Opportunity إدارة الطاقة الشمسية</x:v>
      </x:c>
      <x:c r="C14" s="28" t="str">
        <x:v>غبار يغير ميزانية الطاقة</x:v>
      </x:c>
      <x:c r="D14" s="28" t="str">
        <x:v>لا ادعاء إعادة تشغيل الروفر</x:v>
      </x:c>
      <x:c r="E14" s="28" t="str">
        <x:v>P0</x:v>
      </x:c>
    </x:row>
    <x:row r="15" ht="43" customHeight="1">
      <x:c r="A15" s="28" t="str">
        <x:v>مسارات روفر</x:v>
      </x:c>
      <x:c r="B15" s="28" t="str">
        <x:v>آمن/تلال/استكشاف علمي</x:v>
      </x:c>
      <x:c r="C15" s="28" t="str">
        <x:v>مسارات افتراضية بسمات قابلة للمقارنة</x:v>
      </x:c>
      <x:c r="D15" s="28" t="str">
        <x:v>كل مسار قرار حقيقي</x:v>
      </x:c>
      <x:c r="E15" s="28" t="str">
        <x:v>P0</x:v>
      </x:c>
    </x:row>
    <x:row r="16" ht="43" customHeight="1">
      <x:c r="A16" s="28" t="str">
        <x:v>أنواع الأدلة</x:v>
      </x:c>
      <x:c r="B16" s="28" t="str">
        <x:v>تشغيل/تجربة/جيولوجيا/خريطة</x:v>
      </x:c>
      <x:c r="C16" s="28" t="str">
        <x:v>تمنح أدوات الاستنتاج والتقدم</x:v>
      </x:c>
      <x:c r="D16" s="28" t="str">
        <x:v>حجب الأدلة المطلوبة عن العبث</x:v>
      </x:c>
      <x:c r="E16" s="28" t="str">
        <x:v>P0</x:v>
      </x:c>
    </x:row>
    <x:row r="17" ht="43" customHeight="1">
      <x:c r="A17" s="28" t="str">
        <x:v>نوع اللغز الرئيسي</x:v>
      </x:c>
      <x:c r="B17" s="28" t="str">
        <x:v>ربط الأثر بالدليل</x:v>
      </x:c>
      <x:c r="C17" s="28" t="str">
        <x:v>الحل مرتبط بوظيفة الجهاز</x:v>
      </x:c>
      <x:c r="D17" s="28" t="str">
        <x:v>تلميحات ثلاث مستويات</x:v>
      </x:c>
      <x:c r="E17" s="28" t="str">
        <x:v>P0</x:v>
      </x:c>
    </x:row>
    <x:row r="18" ht="43" customHeight="1">
      <x:c r="A18" s="28" t="str">
        <x:v>لغز الدائرة</x:v>
      </x:c>
      <x:c r="B18" s="28" t="str">
        <x:v>إعادة إكمال مسار كهربائي</x:v>
      </x:c>
      <x:c r="C18" s="28" t="str">
        <x:v>تشغيل بصري وتغذية راجعة</x:v>
      </x:c>
      <x:c r="D18" s="28" t="str">
        <x:v>لا يماثل تركيب Apollo تاريخيًا</x:v>
      </x:c>
      <x:c r="E18" s="28" t="str">
        <x:v>P0</x:v>
      </x:c>
    </x:row>
    <x:row r="19" ht="43" customHeight="1">
      <x:c r="A19" s="28" t="str">
        <x:v>لغز المريخ</x:v>
      </x:c>
      <x:c r="B19" s="28" t="str">
        <x:v>ميزانية إنتاج/استهلاك لعدة sols</x:v>
      </x:c>
      <x:c r="C19" s="28" t="str">
        <x:v>تغيير بيانات افتراضية بفعل الغبار</x:v>
      </x:c>
      <x:c r="D19" s="28" t="str">
        <x:v>لا استخدام أرقام NASA من غير مصدر</x:v>
      </x:c>
      <x:c r="E19" s="28" t="str">
        <x:v>P0</x:v>
      </x:c>
    </x:row>
    <x:row r="20" ht="43" customHeight="1">
      <x:c r="A20" s="28" t="str">
        <x:v>المكافأة</x:v>
      </x:c>
      <x:c r="B20" s="28" t="str">
        <x:v>أرشيف مُستعاد / معرض / XP</x:v>
      </x:c>
      <x:c r="C20" s="28" t="str">
        <x:v>فائدة مرئية ومستدامة</x:v>
      </x:c>
      <x:c r="D20" s="28" t="str">
        <x:v>النقاط لا تكفي وحدها</x:v>
      </x:c>
      <x:c r="E20" s="28" t="str">
        <x:v>P0</x:v>
      </x:c>
    </x:row>
    <x:row r="21" ht="43" customHeight="1">
      <x:c r="A21" s="28" t="str">
        <x:v>أعمار</x:v>
      </x:c>
      <x:c r="B21" s="28" t="str">
        <x:v>12–18 سنة</x:v>
      </x:c>
      <x:c r="C21" s="28" t="str">
        <x:v>قابل للفهم خلال دقيقة</x:v>
      </x:c>
      <x:c r="D21" s="28" t="str">
        <x:v>تحقّق ميداني مع عينات صغيرة</x:v>
      </x:c>
      <x:c r="E21" s="28" t="str">
        <x:v>P0</x:v>
      </x:c>
    </x:row>
    <x:row r="22" ht="43" customHeight="1">
      <x:c r="A22" s="28" t="str">
        <x:v>التوطين</x:v>
      </x:c>
      <x:c r="B22" s="28" t="str">
        <x:v>عربي + إنجليزي</x:v>
      </x:c>
      <x:c r="C22" s="28" t="str">
        <x:v>نصوص قصيرة ومصطلحات موحدة</x:v>
      </x:c>
      <x:c r="D22" s="28" t="str">
        <x:v>RTL على كل نافذة وHUD</x:v>
      </x:c>
      <x:c r="E22" s="28" t="str">
        <x:v>P0</x:v>
      </x:c>
    </x:row>
    <x:row r="23" ht="43" customHeight="1">
      <x:c r="A23" s="28" t="str">
        <x:v>الوصول</x:v>
      </x:c>
      <x:c r="B23" s="28" t="str">
        <x:v>أزرار كبيرة وقارئ نص وتباين</x:v>
      </x:c>
      <x:c r="C23" s="28" t="str">
        <x:v>خفض الحركة وبدائل التحكم عند الإمكان</x:v>
      </x:c>
      <x:c r="D23" s="28" t="str">
        <x:v>يحتاج اختبار فعلي</x:v>
      </x:c>
      <x:c r="E23" s="28" t="str">
        <x:v>P1</x:v>
      </x:c>
    </x:row>
    <x:row r="24" ht="43" customHeight="1">
      <x:c r="A24" s="28" t="str">
        <x:v>الاتصال</x:v>
      </x:c>
      <x:c r="B24" s="28" t="str">
        <x:v>اللعبة تعمل دون إنترنت (حالياً)</x:v>
      </x:c>
      <x:c r="C24" s="28" t="str">
        <x:v>لا API حي مطلوب</x:v>
      </x:c>
      <x:c r="D24" s="28" t="str">
        <x:v>الأصول التاريخية روابط للمراجعة</x:v>
      </x:c>
      <x:c r="E24" s="28" t="str">
        <x:v>P0</x:v>
      </x:c>
    </x:row>
    <x:row r="25" ht="43" customHeight="1">
      <x:c r="A25" s="28" t="str">
        <x:v>الخصوصية</x:v>
      </x:c>
      <x:c r="B25" s="28" t="str">
        <x:v>حفظ محلي بلا حسابات</x:v>
      </x:c>
      <x:c r="C25" s="28" t="str">
        <x:v>مناسب للفئة المدرسية</x:v>
      </x:c>
      <x:c r="D25" s="28" t="str">
        <x:v>لا بيانات شخصية غير لازمة</x:v>
      </x:c>
      <x:c r="E25" s="28" t="str">
        <x:v>P0</x:v>
      </x:c>
    </x:row>
    <x:row r="26" ht="43" customHeight="1">
      <x:c r="A26" s="28" t="str">
        <x:v>المصادر</x:v>
      </x:c>
      <x:c r="B26" s="28" t="str">
        <x:v>NASA claim matrix</x:v>
      </x:c>
      <x:c r="C26" s="28" t="str">
        <x:v>كل حقيقة يمكن فتح مرجعها</x:v>
      </x:c>
      <x:c r="D26" s="28" t="str">
        <x:v>أزمنة وأرقام الافتراضات واضحة</x:v>
      </x:c>
      <x:c r="E26" s="28" t="str">
        <x:v>P0</x:v>
      </x:c>
    </x:row>
    <x:row r="27" ht="43" customHeight="1">
      <x:c r="A27" s="28" t="str">
        <x:v>نبرة ECHO</x:v>
      </x:c>
      <x:c r="B27" s="28" t="str">
        <x:v>قصيرة، استكشافية، غير متسلطة</x:v>
      </x:c>
      <x:c r="C27" s="28" t="str">
        <x:v>تلميح بحسب التعثر</x:v>
      </x:c>
      <x:c r="D27" s="28" t="str">
        <x:v>لا صوت مزعج مستمر</x:v>
      </x:c>
      <x:c r="E27" s="28" t="str">
        <x:v>P1</x:v>
      </x:c>
    </x:row>
    <x:row r="28" ht="43" customHeight="1">
      <x:c r="A28" s="28" t="str">
        <x:v>مستوى الفوز</x:v>
      </x:c>
      <x:c r="B28" s="28" t="str">
        <x:v>إنهاء الهدف مع فهم علاقة السبب بالأثر</x:v>
      </x:c>
      <x:c r="C28" s="28" t="str">
        <x:v>حل شفرة وبيان علاقة تقنية وإنجاز</x:v>
      </x:c>
      <x:c r="D28" s="28" t="str">
        <x:v>تفوق المتعة على الحفظ</x:v>
      </x:c>
      <x:c r="E28" s="28" t="str">
        <x:v>P0</x:v>
      </x:c>
    </x:row>
    <x:row r="29" ht="43" customHeight="1">
      <x:c r="A29" s="28" t="str">
        <x:v>إعادة اللعب</x:v>
      </x:c>
      <x:c r="B29" s="28" t="str">
        <x:v>مسارات مختلفة / عيّنات إضافية</x:v>
      </x:c>
      <x:c r="C29" s="28" t="str">
        <x:v>مكافأة معرفة واستكشاف</x:v>
      </x:c>
      <x:c r="D29" s="28" t="str">
        <x:v>ليس طحنًا لرفع XP</x:v>
      </x:c>
      <x:c r="E29" s="28" t="str">
        <x:v>P1</x:v>
      </x:c>
    </x:row>
    <x:row r="30" ht="43" customHeight="1">
      <x:c r="A30" s="28" t="str">
        <x:v>اختبار المتعة</x:v>
      </x:c>
      <x:c r="B30" s="28" t="str">
        <x:v>هل يتحرك اللاعب ويقرر خلال 30 ثانية؟</x:v>
      </x:c>
      <x:c r="C30" s="28" t="str">
        <x:v>قياس مراقبة من غير تعليمات</x:v>
      </x:c>
      <x:c r="D30" s="28" t="str">
        <x:v>الهدف لم يُختبر بشريًا بعد</x:v>
      </x:c>
      <x:c r="E30" s="28" t="str">
        <x:v>P0</x:v>
      </x:c>
    </x:row>
    <x:row r="31" ht="43" customHeight="1">
      <x:c r="A31" s="28" t="str">
        <x:v>اختبار التعلم</x:v>
      </x:c>
      <x:c r="B31" s="28" t="str">
        <x:v>سؤال قبلي وبعدي + تفسير مفتوح</x:v>
      </x:c>
      <x:c r="C31" s="28" t="str">
        <x:v>حساب تحسن بالنقاط المئوية</x:v>
      </x:c>
      <x:c r="D31" s="28" t="str">
        <x:v>لا تُدعى نتائج قبل عينة حقيقية</x:v>
      </x:c>
      <x:c r="E31" s="28" t="str">
        <x:v>P0</x:v>
      </x:c>
    </x:row>
    <x:row r="32" ht="43" customHeight="1">
      <x:c r="A32" s="28" t="str">
        <x:v>تعريف MVP</x:v>
      </x:c>
      <x:c r="B32" s="28" t="str">
        <x:v>Apollo + Opportunity تعملان من بداية لنهاية</x:v>
      </x:c>
      <x:c r="C32" s="28" t="str">
        <x:v>ولكن صقل Apollo يسبق الإضافة</x:v>
      </x:c>
      <x:c r="D32" s="28" t="str">
        <x:v>لا نضمن قبول دولي</x:v>
      </x:c>
      <x:c r="E32" s="28" t="str">
        <x:v>P0</x:v>
      </x:c>
    </x:row>
  </x:sheetData>
  <x:mergeCells>
    <x:mergeCell ref="A1:E1"/>
    <x:mergeCell ref="A2:E2"/>
    <x:mergeCell ref="A3:E3"/>
  </x:mergeCells>
  <x:conditionalFormatting sqref="E6:E32">
    <x:cfRule type="expression" dxfId="7" priority="1">
      <x:formula>E6="P0"</x:formula>
    </x:cfRule>
    <x:cfRule type="expression" dxfId="8" priority="2">
      <x:formula>E6="حرج"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32" hidden="0" customWidth="1"/>
    <x:col min="3" max="3" width="77" hidden="0" customWidth="1"/>
    <x:col min="4" max="4" width="83" hidden="0" customWidth="1"/>
    <x:col min="5" max="5" width="25" hidden="0" customWidth="1"/>
    <x:col min="6" max="6" width="22" hidden="0" customWidth="1"/>
  </x:cols>
  <x:sheetData>
    <x:row r="1" ht="38" customHeight="1">
      <x:c r="A1" s="4" t="str">
        <x:v>العالم والشخصيات</x:v>
      </x:c>
      <x:c r="B1" s="4"/>
      <x:c r="C1" s="4"/>
      <x:c r="D1" s="4"/>
      <x:c r="E1" s="4"/>
      <x:c r="F1" s="4"/>
    </x:row>
    <x:row r="2" ht="29" customHeight="1">
      <x:c r="A2" s="10" t="str">
        <x:v>القصة، الحقيقة والخيال، رسائل ECHO، وما يحدث بالفعل عند كل منعطف</x:v>
      </x:c>
      <x:c r="B2" s="10"/>
      <x:c r="C2" s="10"/>
      <x:c r="D2" s="10"/>
      <x:c r="E2" s="10"/>
      <x:c r="F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</x:row>
    <x:row r="5" ht="34" customHeight="1">
      <x:c r="A5" s="21" t="str">
        <x:v>العنصر</x:v>
      </x:c>
      <x:c r="B5" s="21" t="str">
        <x:v>الدور</x:v>
      </x:c>
      <x:c r="C5" s="21" t="str">
        <x:v>المعنى الدرامي/التعليمي</x:v>
      </x:c>
      <x:c r="D5" s="21" t="str">
        <x:v>المشهد التفاعلي</x:v>
      </x:c>
      <x:c r="E5" s="21" t="str">
        <x:v>التصنيف</x:v>
      </x:c>
      <x:c r="F5" s="21" t="str">
        <x:v>حالة التطوير</x:v>
      </x:c>
    </x:row>
    <x:row r="6" ht="43" customHeight="1">
      <x:c r="A6" s="28" t="str">
        <x:v>ORIGIN</x:v>
      </x:c>
      <x:c r="B6" s="28" t="str">
        <x:v>المحطة المدارية</x:v>
      </x:c>
      <x:c r="C6" s="28" t="str">
        <x:v>متحف علمي/مركز إعادة بناء خيالي</x:v>
      </x:c>
      <x:c r="D6" s="28" t="str">
        <x:v>تظهر روابط معدنية باهتة تضاء بعد الاستنتاج</x:v>
      </x:c>
      <x:c r="E6" s="28" t="str">
        <x:v>خيال سردي</x:v>
      </x:c>
      <x:c r="F6" s="28" t="str">
        <x:v>موجود حاليًا</x:v>
      </x:c>
    </x:row>
    <x:row r="7" ht="43" customHeight="1">
      <x:c r="A7" s="28" t="str">
        <x:v>ECHO</x:v>
      </x:c>
      <x:c r="B7" s="28" t="str">
        <x:v>مرشد أرشيفي غير بشري</x:v>
      </x:c>
      <x:c r="C7" s="28" t="str">
        <x:v>لا يعرف الإجابات كاملة؛ يوجه إلى الأدلة</x:v>
      </x:c>
      <x:c r="D7" s="28" t="str">
        <x:v>يعلق بجمل قصيرة على اكتشافات اللاعب</x:v>
      </x:c>
      <x:c r="E7" s="28" t="str">
        <x:v>خيال سردي</x:v>
      </x:c>
      <x:c r="F7" s="28" t="str">
        <x:v>موجود حاليًا</x:v>
      </x:c>
    </x:row>
    <x:row r="8" ht="43" customHeight="1">
      <x:c r="A8" s="28" t="str">
        <x:v>Explorer</x:v>
      </x:c>
      <x:c r="B8" s="28" t="str">
        <x:v>اللاعب</x:v>
      </x:c>
      <x:c r="C8" s="28" t="str">
        <x:v>يجمع ويفسر ولا يعيد إنعاش معدات تاريخية</x:v>
      </x:c>
      <x:c r="D8" s="28" t="str">
        <x:v>تفاعل/قيادة محاكاة</x:v>
      </x:c>
      <x:c r="E8" s="28" t="str">
        <x:v>خيال سردي</x:v>
      </x:c>
      <x:c r="F8" s="28" t="str">
        <x:v>موجود حاليًا</x:v>
      </x:c>
    </x:row>
    <x:row r="9" ht="43" customHeight="1">
      <x:c r="A9" s="28" t="str">
        <x:v>Apollo 15 rover</x:v>
      </x:c>
      <x:c r="B9" s="28" t="str">
        <x:v>الأثر الأول</x:v>
      </x:c>
      <x:c r="C9" s="28" t="str">
        <x:v>يسأل لماذا غيّر النقل العمل العلمي</x:v>
      </x:c>
      <x:c r="D9" s="28" t="str">
        <x:v>تاريخ + تجربة مبسطة</x:v>
      </x:c>
      <x:c r="E9" s="28" t="str">
        <x:v>تاريخ موثق</x:v>
      </x:c>
      <x:c r="F9" s="28" t="str">
        <x:v>موجود حاليًا</x:v>
      </x:c>
    </x:row>
    <x:row r="10" ht="43" customHeight="1">
      <x:c r="A10" s="28" t="str">
        <x:v>Opportunity</x:v>
      </x:c>
      <x:c r="B10" s="28" t="str">
        <x:v>الأثر الثاني</x:v>
      </x:c>
      <x:c r="C10" s="28" t="str">
        <x:v>لماذا تحدد الطاقة الشمسية حدود الروفر؟</x:v>
      </x:c>
      <x:c r="D10" s="28" t="str">
        <x:v>موازنة الطاقة</x:v>
      </x:c>
      <x:c r="E10" s="28" t="str">
        <x:v>تاريخ + محاكاة</x:v>
      </x:c>
      <x:c r="F10" s="28" t="str">
        <x:v>موجود حاليًا</x:v>
      </x:c>
    </x:row>
    <x:row r="11" ht="43" customHeight="1">
      <x:c r="A11" s="28" t="str">
        <x:v>The Missing Connection</x:v>
      </x:c>
      <x:c r="B11" s="28" t="str">
        <x:v>الصراع الرئيسي</x:v>
      </x:c>
      <x:c r="C11" s="28" t="str">
        <x:v>الروابط بين المعدات والنتائج اختفت من الأرشيف</x:v>
      </x:c>
      <x:c r="D11" s="28" t="str">
        <x:v>كل حل يكمل خريطة العلوم</x:v>
      </x:c>
      <x:c r="E11" s="28" t="str">
        <x:v>خيال سردي</x:v>
      </x:c>
      <x:c r="F11" s="28" t="str">
        <x:v>موجود حاليًا</x:v>
      </x:c>
    </x:row>
    <x:row r="12" ht="43" customHeight="1">
      <x:c r="A12" s="28" t="str">
        <x:v>افتتاح</x:v>
      </x:c>
      <x:c r="B12" s="28" t="str">
        <x:v>المقدمة</x:v>
      </x:c>
      <x:c r="C12" s="28" t="str">
        <x:v>"The machines were left behind. Their discoveries were not."</x:v>
      </x:c>
      <x:c r="D12" s="28" t="str">
        <x:v>نص افتتاحي قصير لا يوقف اللعب</x:v>
      </x:c>
      <x:c r="E12" s="28" t="str">
        <x:v>خيال سردي</x:v>
      </x:c>
      <x:c r="F12" s="28" t="str">
        <x:v>مخطط</x:v>
      </x:c>
    </x:row>
    <x:row r="13" ht="43" customHeight="1">
      <x:c r="A13" s="28" t="str">
        <x:v>بداية القمر</x:v>
      </x:c>
      <x:c r="B13" s="28" t="str">
        <x:v>هجوم الفضول</x:v>
      </x:c>
      <x:c r="C13" s="28" t="str">
        <x:v>"ابحث عن الآلة.. ولا تبحث عن الجواب في لوحة!"</x:v>
      </x:c>
      <x:c r="D13" s="28" t="str">
        <x:v>يد اللاعب يتجه للمركبة</x:v>
      </x:c>
      <x:c r="E13" s="28" t="str">
        <x:v>خيال سردي</x:v>
      </x:c>
      <x:c r="F13" s="28" t="str">
        <x:v>مخطط</x:v>
      </x:c>
    </x:row>
    <x:row r="14" ht="43" customHeight="1">
      <x:c r="A14" s="28" t="str">
        <x:v>الدائرة</x:v>
      </x:c>
      <x:c r="B14" s="28" t="str">
        <x:v>تحول من الفحص للفعل</x:v>
      </x:c>
      <x:c r="C14" s="28" t="str">
        <x:v>"الإشارة مقطوعة.. كيف يمكنها أن تصل؟"</x:v>
      </x:c>
      <x:c r="D14" s="28" t="str">
        <x:v>توصيل قطع لا قائمة أسئلة</x:v>
      </x:c>
      <x:c r="E14" s="28" t="str">
        <x:v>محاكاة تعليمية</x:v>
      </x:c>
      <x:c r="F14" s="28" t="str">
        <x:v>موجود حاليًا</x:v>
      </x:c>
    </x:row>
    <x:row r="15" ht="43" customHeight="1">
      <x:c r="A15" s="28" t="str">
        <x:v>القيادة</x:v>
      </x:c>
      <x:c r="B15" s="28" t="str">
        <x:v>استكشاف حر مقيد</x:v>
      </x:c>
      <x:c r="C15" s="28" t="str">
        <x:v>"الخيار الأسرع ليس دائمًا الأكثر إفادة."</x:v>
      </x:c>
      <x:c r="D15" s="28" t="str">
        <x:v>ثلاثة مسارات مع تكلفة</x:v>
      </x:c>
      <x:c r="E15" s="28" t="str">
        <x:v>محاكاة افتراضية</x:v>
      </x:c>
      <x:c r="F15" s="28" t="str">
        <x:v>موجود حاليًا</x:v>
      </x:c>
    </x:row>
    <x:row r="16" ht="43" customHeight="1">
      <x:c r="A16" s="28" t="str">
        <x:v>المختبر</x:v>
      </x:c>
      <x:c r="B16" s="28" t="str">
        <x:v>اللحظة التعليمية</x:v>
      </x:c>
      <x:c r="C16" s="28" t="str">
        <x:v>"عندما نوفر وقت التنقل، ماذا يكسب العلم؟"</x:v>
      </x:c>
      <x:c r="D16" s="28" t="str">
        <x:v>أداة حسابية تفاعلية</x:v>
      </x:c>
      <x:c r="E16" s="28" t="str">
        <x:v>محاكاة افتراضية</x:v>
      </x:c>
      <x:c r="F16" s="28" t="str">
        <x:v>موجود حاليًا</x:v>
      </x:c>
    </x:row>
    <x:row r="17" ht="43" customHeight="1">
      <x:c r="A17" s="28" t="str">
        <x:v>كشف القمر</x:v>
      </x:c>
      <x:c r="B17" s="28" t="str">
        <x:v>النتيجة</x:v>
      </x:c>
      <x:c r="C17" s="28" t="str">
        <x:v>"The rover stayed. Its scientific legacy moved forward."</x:v>
      </x:c>
      <x:c r="D17" s="28" t="str">
        <x:v>إضاءة وصلة ORIGIN</x:v>
      </x:c>
      <x:c r="E17" s="28" t="str">
        <x:v>خيال سردي</x:v>
      </x:c>
      <x:c r="F17" s="28" t="str">
        <x:v>موجود حاليًا</x:v>
      </x:c>
    </x:row>
    <x:row r="18" ht="43" customHeight="1">
      <x:c r="A18" s="28" t="str">
        <x:v>انتقال المريخ</x:v>
      </x:c>
      <x:c r="B18" s="28" t="str">
        <x:v>مشهد الفصل الثاني</x:v>
      </x:c>
      <x:c r="C18" s="28" t="str">
        <x:v>تبدأ إشارة ضعيفة وسط غبار المريخ</x:v>
      </x:c>
      <x:c r="D18" s="28" t="str">
        <x:v>تهديد الموارد لا قتال</x:v>
      </x:c>
      <x:c r="E18" s="28" t="str">
        <x:v>خيال سردي</x:v>
      </x:c>
      <x:c r="F18" s="28" t="str">
        <x:v>موجود حاليًا</x:v>
      </x:c>
    </x:row>
    <x:row r="19" ht="43" customHeight="1">
      <x:c r="A19" s="28" t="str">
        <x:v>فرص الشمس</x:v>
      </x:c>
      <x:c r="B19" s="28" t="str">
        <x:v>قرار إدارة</x:v>
      </x:c>
      <x:c r="C19" s="28" t="str">
        <x:v>"هل تشغّل جهازًا الآن أم تحافظ على الطاقة؟"</x:v>
      </x:c>
      <x:c r="D19" s="28" t="str">
        <x:v>4 أيام افتراضية</x:v>
      </x:c>
      <x:c r="E19" s="28" t="str">
        <x:v>محاكاة تعليمية</x:v>
      </x:c>
      <x:c r="F19" s="28" t="str">
        <x:v>موجود حاليًا</x:v>
      </x:c>
    </x:row>
    <x:row r="20" ht="43" customHeight="1">
      <x:c r="A20" s="28" t="str">
        <x:v>صمت Opportunity</x:v>
      </x:c>
      <x:c r="B20" s="28" t="str">
        <x:v>مراجعة الحقيقة</x:v>
      </x:c>
      <x:c r="C20" s="28" t="str">
        <x:v>لا نقول إن العربة تبعث آخر كلمات ناطقة</x:v>
      </x:c>
      <x:c r="D20" s="28" t="str">
        <x:v>يُذكر انقطاع 2018 كما هو</x:v>
      </x:c>
      <x:c r="E20" s="28" t="str">
        <x:v>تاريخ موثق</x:v>
      </x:c>
      <x:c r="F20" s="28" t="str">
        <x:v>مخطط</x:v>
      </x:c>
    </x:row>
    <x:row r="21" ht="43" customHeight="1">
      <x:c r="A21" s="28" t="str">
        <x:v>ختام المتحف</x:v>
      </x:c>
      <x:c r="B21" s="28" t="str">
        <x:v>الترابط</x:v>
      </x:c>
      <x:c r="C21" s="28" t="str">
        <x:v>يعرض إنجاز Apollo وOpportunity ونوع محاكاة كل منهما</x:v>
      </x:c>
      <x:c r="D21" s="28" t="str">
        <x:v>غرفة إرث قابلة للزيارة</x:v>
      </x:c>
      <x:c r="E21" s="28" t="str">
        <x:v>خيال سردي</x:v>
      </x:c>
      <x:c r="F21" s="28" t="str">
        <x:v>موجود حاليًا</x:v>
      </x:c>
    </x:row>
    <x:row r="22" ht="43" customHeight="1">
      <x:c r="A22" s="28" t="str">
        <x:v>InSight لاحقًا</x:v>
      </x:c>
      <x:c r="B22" s="28" t="str">
        <x:v>سرّ المريخ الداخلي</x:v>
      </x:c>
      <x:c r="C22" s="28" t="str">
        <x:v>الإشارة الصامتة تتحول إلى موجات زلزالية</x:v>
      </x:c>
      <x:c r="D22" s="28" t="str">
        <x:v>لا عرض واجهة كأنها مأخوذة من NASA إلا إذا كانت</x:v>
      </x:c>
      <x:c r="E22" s="28" t="str">
        <x:v>تاريخ + محاكاة</x:v>
      </x:c>
      <x:c r="F22" s="28" t="str">
        <x:v>مؤجل</x:v>
      </x:c>
    </x:row>
  </x:sheetData>
  <x:mergeCells>
    <x:mergeCell ref="A1:F1"/>
    <x:mergeCell ref="A2:F2"/>
    <x:mergeCell ref="A3:F3"/>
  </x:mergeCells>
  <x:conditionalFormatting sqref="F6:F22">
    <x:cfRule type="expression" dxfId="9" priority="1">
      <x:formula>F6="مكتمل"</x:formula>
    </x:cfRule>
    <x:cfRule type="expression" dxfId="10" priority="2">
      <x:formula>F6="محظور حتى التحقق"</x:formula>
    </x:cfRule>
    <x:cfRule type="expression" dxfId="11" priority="3">
      <x:formula>F6="يحتاج تحقق"</x:formula>
    </x:cfRule>
  </x:conditionalFormatting>
  <x:dataValidations count="1">
    <x:dataValidation type="list" sqref="F6:F22">
      <x:formula1>"موجود حاليًا,قيد التطوير,مخطط,يحتاج تحقق,مكتمل,لم يبدأ,مؤجل,محظور حتى التحقق,غير منطبق"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55" hidden="0" customWidth="1"/>
    <x:col min="4" max="4" width="71" hidden="0" customWidth="1"/>
    <x:col min="5" max="5" width="57" hidden="0" customWidth="1"/>
    <x:col min="6" max="6" width="39" hidden="0" customWidth="1"/>
  </x:cols>
  <x:sheetData>
    <x:row r="1" ht="38" customHeight="1">
      <x:c r="A1" s="4" t="str">
        <x:v>رحلة اللاعب</x:v>
      </x:c>
      <x:c r="B1" s="4"/>
      <x:c r="C1" s="4"/>
      <x:c r="D1" s="4"/>
      <x:c r="E1" s="4"/>
      <x:c r="F1" s="4"/>
    </x:row>
    <x:row r="2" ht="29" customHeight="1">
      <x:c r="A2" s="10" t="str">
        <x:v>رحلة تجربة مقترحة لا أزمنة مثبتة؛ اختبار السرعة والفهم والمتعة مطلوب</x:v>
      </x:c>
      <x:c r="B2" s="10"/>
      <x:c r="C2" s="10"/>
      <x:c r="D2" s="10"/>
      <x:c r="E2" s="10"/>
      <x:c r="F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</x:row>
    <x:row r="5" ht="34" customHeight="1">
      <x:c r="A5" s="21" t="str">
        <x:v>التوقيت المستهدف</x:v>
      </x:c>
      <x:c r="B5" s="21" t="str">
        <x:v>الموقع</x:v>
      </x:c>
      <x:c r="C5" s="21" t="str">
        <x:v>ماذا يفعل اللاعب؟</x:v>
      </x:c>
      <x:c r="D5" s="21" t="str">
        <x:v>الانطباع التصميمي</x:v>
      </x:c>
      <x:c r="E5" s="21" t="str">
        <x:v>معيار نجاح</x:v>
      </x:c>
      <x:c r="F5" s="21" t="str">
        <x:v>طريقة القياس</x:v>
      </x:c>
    </x:row>
    <x:row r="6" ht="43" customHeight="1">
      <x:c r="A6" s="28" t="str">
        <x:v>00:00–00:15</x:v>
      </x:c>
      <x:c r="B6" s="28" t="str">
        <x:v>واجهة البداية</x:v>
      </x:c>
      <x:c r="C6" s="28" t="str">
        <x:v>التقط الفكرة والهوية</x:v>
      </x:c>
      <x:c r="D6" s="28" t="str">
        <x:v>ابدأ خلال نقرتين</x:v>
      </x:c>
      <x:c r="E6" s="28" t="str">
        <x:v>لا يتجاوز المقدمة دون خيار تخطٍ</x:v>
      </x:c>
      <x:c r="F6" s="28" t="str">
        <x:v>فحص 5 مشاركين</x:v>
      </x:c>
    </x:row>
    <x:row r="7" ht="43" customHeight="1">
      <x:c r="A7" s="28" t="str">
        <x:v>00:15–00:40</x:v>
      </x:c>
      <x:c r="B7" s="28" t="str">
        <x:v>ORIGIN</x:v>
      </x:c>
      <x:c r="C7" s="28" t="str">
        <x:v>اختر سجل Apollo 15</x:v>
      </x:c>
      <x:c r="D7" s="28" t="str">
        <x:v>المحطة بها اتجاه واحد واضح</x:v>
      </x:c>
      <x:c r="E7" s="28" t="str">
        <x:v>الحيرة أقل من 15 ثانية</x:v>
      </x:c>
      <x:c r="F7" s="28" t="str">
        <x:v>توقيت أول تفاعل</x:v>
      </x:c>
    </x:row>
    <x:row r="8" ht="43" customHeight="1">
      <x:c r="A8" s="28" t="str">
        <x:v>00:40–01:30</x:v>
      </x:c>
      <x:c r="B8" s="28" t="str">
        <x:v>أرض القمر</x:v>
      </x:c>
      <x:c r="C8" s="28" t="str">
        <x:v>حرّك اللاعب واكتشف منارة</x:v>
      </x:c>
      <x:c r="D8" s="28" t="str">
        <x:v>المعدات أمامك وليست خلف ثلاثة نصوص</x:v>
      </x:c>
      <x:c r="E8" s="28" t="str">
        <x:v>فضول ومكافأة فورية</x:v>
      </x:c>
      <x:c r="F8" s="28" t="str">
        <x:v>مراقبة</x:v>
      </x:c>
    </x:row>
    <x:row r="9" ht="43" customHeight="1">
      <x:c r="A9" s="28" t="str">
        <x:v>01:30–02:30</x:v>
      </x:c>
      <x:c r="B9" s="28" t="str">
        <x:v>أدلة</x:v>
      </x:c>
      <x:c r="C9" s="28" t="str">
        <x:v>اجمع ثلاثة آثار</x:v>
      </x:c>
      <x:c r="D9" s="28" t="str">
        <x:v>كل دليل يعطي علامة علمية واضحة</x:v>
      </x:c>
      <x:c r="E9" s="28" t="str">
        <x:v>تميّز نوع الدليل</x:v>
      </x:c>
      <x:c r="F9" s="28" t="str">
        <x:v>عدّ العناصر</x:v>
      </x:c>
    </x:row>
    <x:row r="10" ht="43" customHeight="1">
      <x:c r="A10" s="28" t="str">
        <x:v>02:30–03:30</x:v>
      </x:c>
      <x:c r="B10" s="28" t="str">
        <x:v>دائرة</x:v>
      </x:c>
      <x:c r="C10" s="28" t="str">
        <x:v>دوّر القطع حتى تصل الإشارة</x:v>
      </x:c>
      <x:c r="D10" s="28" t="str">
        <x:v>تغذية راجعة كهربائية مباشرة</x:v>
      </x:c>
      <x:c r="E10" s="28" t="str">
        <x:v>زمن الحل/تلميح</x:v>
      </x:c>
      <x:c r="F10" s="28" t="str">
        <x:v>سجل أخطاء</x:v>
      </x:c>
    </x:row>
    <x:row r="11" ht="43" customHeight="1">
      <x:c r="A11" s="28" t="str">
        <x:v>03:30–04:30</x:v>
      </x:c>
      <x:c r="B11" s="28" t="str">
        <x:v>ربط الأدلة</x:v>
      </x:c>
      <x:c r="C11" s="28" t="str">
        <x:v>اربط الدليل بالنتيجة</x:v>
      </x:c>
      <x:c r="D11" s="28" t="str">
        <x:v>التفسير مدعوم بسياق</x:v>
      </x:c>
      <x:c r="E11" s="28" t="str">
        <x:v>سبب منطقي معلن</x:v>
      </x:c>
      <x:c r="F11" s="28" t="str">
        <x:v>سؤال شفهي</x:v>
      </x:c>
    </x:row>
    <x:row r="12" ht="43" customHeight="1">
      <x:c r="A12" s="28" t="str">
        <x:v>04:30–06:30</x:v>
      </x:c>
      <x:c r="B12" s="28" t="str">
        <x:v>روفر</x:v>
      </x:c>
      <x:c r="C12" s="28" t="str">
        <x:v>اختر مسار قيادة</x:v>
      </x:c>
      <x:c r="D12" s="28" t="str">
        <x:v>تحكم واضح/تصادم معقول</x:v>
      </x:c>
      <x:c r="E12" s="28" t="str">
        <x:v>القيادة ممتعة</x:v>
      </x:c>
      <x:c r="F12" s="28" t="str">
        <x:v>تجربة بلا هدف 1 دقيقة</x:v>
      </x:c>
    </x:row>
    <x:row r="13" ht="43" customHeight="1">
      <x:c r="A13" s="28" t="str">
        <x:v>06:30–08:00</x:v>
      </x:c>
      <x:c r="B13" s="28" t="str">
        <x:v>جمع مواقع</x:v>
      </x:c>
      <x:c r="C13" s="28" t="str">
        <x:v>أجمع حزمًا على المسار</x:v>
      </x:c>
      <x:c r="D13" s="28" t="str">
        <x:v>القرار يؤثر في الاكتشاف</x:v>
      </x:c>
      <x:c r="E13" s="28" t="str">
        <x:v>أهمية الانحراف عن الطريق</x:v>
      </x:c>
      <x:c r="F13" s="28" t="str">
        <x:v>Replay</x:v>
      </x:c>
    </x:row>
    <x:row r="14" ht="43" customHeight="1">
      <x:c r="A14" s="28" t="str">
        <x:v>08:00–09:20</x:v>
      </x:c>
      <x:c r="B14" s="28" t="str">
        <x:v>التصنيف</x:v>
      </x:c>
      <x:c r="C14" s="28" t="str">
        <x:v>صنّف ثلاث ملاحظات علمية</x:v>
      </x:c>
      <x:c r="D14" s="28" t="str">
        <x:v>الفهم لا الحفظ</x:v>
      </x:c>
      <x:c r="E14" s="28" t="str">
        <x:v>تفسير التصنيف</x:v>
      </x:c>
      <x:c r="F14" s="28" t="str">
        <x:v>عدد المحاولات</x:v>
      </x:c>
    </x:row>
    <x:row r="15" ht="43" customHeight="1">
      <x:c r="A15" s="28" t="str">
        <x:v>09:20–10:30</x:v>
      </x:c>
      <x:c r="B15" s="28" t="str">
        <x:v>معمل زمن التنقل</x:v>
      </x:c>
      <x:c r="C15" s="28" t="str">
        <x:v>قارن المشي والمركبة</x:v>
      </x:c>
      <x:c r="D15" s="28" t="str">
        <x:v>قيم افتراضية ووحدات واضحة</x:v>
      </x:c>
      <x:c r="E15" s="28" t="str">
        <x:v>تحقق الحساب</x:v>
      </x:c>
      <x:c r="F15" s="28" t="str">
        <x:v>فحص حالات حدودية</x:v>
      </x:c>
    </x:row>
    <x:row r="16" ht="43" customHeight="1">
      <x:c r="A16" s="28" t="str">
        <x:v>10:30–11:30</x:v>
      </x:c>
      <x:c r="B16" s="28" t="str">
        <x:v>الاستنتاج</x:v>
      </x:c>
      <x:c r="C16" s="28" t="str">
        <x:v>استخلص لماذا أفاد الروفر العلم</x:v>
      </x:c>
      <x:c r="D16" s="28" t="str">
        <x:v>اللاعب يشرح الاستنتاج</x:v>
      </x:c>
      <x:c r="E16" s="28" t="str">
        <x:v>تحسن فهم العلاقة</x:v>
      </x:c>
      <x:c r="F16" s="28" t="str">
        <x:v>قبل/بعد</x:v>
      </x:c>
    </x:row>
    <x:row r="17" ht="43" customHeight="1">
      <x:c r="A17" s="28" t="str">
        <x:v>11:30–12:00</x:v>
      </x:c>
      <x:c r="B17" s="28" t="str">
        <x:v>المتحف</x:v>
      </x:c>
      <x:c r="C17" s="28" t="str">
        <x:v>تشاهد قيمة ما تعلمت</x:v>
      </x:c>
      <x:c r="D17" s="28" t="str">
        <x:v>حدث بصري ومكافأة</x:v>
      </x:c>
      <x:c r="E17" s="28" t="str">
        <x:v>نية الاستمرار</x:v>
      </x:c>
      <x:c r="F17" s="28" t="str">
        <x:v>سؤال استبيان</x:v>
      </x:c>
    </x:row>
    <x:row r="18" ht="43" customHeight="1">
      <x:c r="A18" s="28" t="str">
        <x:v>12:00–12:40</x:v>
      </x:c>
      <x:c r="B18" s="28" t="str">
        <x:v>الانتقال</x:v>
      </x:c>
      <x:c r="C18" s="28" t="str">
        <x:v>تفتح مهمة Opportunity</x:v>
      </x:c>
      <x:c r="D18" s="28" t="str">
        <x:v>مشهد وهدف جديد</x:v>
      </x:c>
      <x:c r="E18" s="28" t="str">
        <x:v>اللاعب يريد الاستمرار</x:v>
      </x:c>
      <x:c r="F18" s="28" t="str">
        <x:v>خريطة تقدم</x:v>
      </x:c>
    </x:row>
    <x:row r="19" ht="43" customHeight="1">
      <x:c r="A19" s="28" t="str">
        <x:v>12:40–15:30</x:v>
      </x:c>
      <x:c r="B19" s="28" t="str">
        <x:v>الطاقة</x:v>
      </x:c>
      <x:c r="C19" s="28" t="str">
        <x:v>احفظ الطاقة خلال أربع sols</x:v>
      </x:c>
      <x:c r="D19" s="28" t="str">
        <x:v>قرارات فعلية مع مخاطر</x:v>
      </x:c>
      <x:c r="E19" s="28" t="str">
        <x:v>لا انسداد غير قابل للعلاج</x:v>
      </x:c>
      <x:c r="F19" s="28" t="str">
        <x:v>اختبار فشل</x:v>
      </x:c>
    </x:row>
    <x:row r="20" ht="43" customHeight="1">
      <x:c r="A20" s="28" t="str">
        <x:v>15:30–16:30</x:v>
      </x:c>
      <x:c r="B20" s="28" t="str">
        <x:v>شفرة الإرسال</x:v>
      </x:c>
      <x:c r="C20" s="28" t="str">
        <x:v>فسّر البيانات وافتح الأرشيف</x:v>
      </x:c>
      <x:c r="D20" s="28" t="str">
        <x:v>حل شيفرة لا تخمينًا عشوائيًا</x:v>
      </x:c>
      <x:c r="E20" s="28" t="str">
        <x:v>قابل للتعلم</x:v>
      </x:c>
      <x:c r="F20" s="28" t="str">
        <x:v>مسار QA</x:v>
      </x:c>
    </x:row>
    <x:row r="21" ht="43" customHeight="1">
      <x:c r="A21" s="28" t="str">
        <x:v>16:30–17:00</x:v>
      </x:c>
      <x:c r="B21" s="28" t="str">
        <x:v>المتحف الثاني</x:v>
      </x:c>
      <x:c r="C21" s="28" t="str">
        <x:v>ترى الترابط بين المهمتين</x:v>
      </x:c>
      <x:c r="D21" s="28" t="str">
        <x:v>خاتمة غير مكررة</x:v>
      </x:c>
      <x:c r="E21" s="28" t="str">
        <x:v>نقطة تعلم واحدة محفوظة</x:v>
      </x:c>
      <x:c r="F21" s="28" t="str">
        <x:v>تقييم مقابلة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32" hidden="0" customWidth="1"/>
    <x:col min="4" max="4" width="22" hidden="0" customWidth="1"/>
    <x:col min="5" max="5" width="67" hidden="0" customWidth="1"/>
    <x:col min="6" max="6" width="45" hidden="0" customWidth="1"/>
    <x:col min="7" max="7" width="46" hidden="0" customWidth="1"/>
    <x:col min="8" max="8" width="23" hidden="0" customWidth="1"/>
    <x:col min="9" max="9" width="23" hidden="0" customWidth="1"/>
    <x:col min="10" max="10" width="21" hidden="0" customWidth="1"/>
    <x:col min="11" max="11" width="13" hidden="0" customWidth="1"/>
  </x:cols>
  <x:sheetData>
    <x:row r="1" ht="38" customHeight="1">
      <x:c r="A1" s="4" t="str">
        <x:v>خارطة المراحل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9" customHeight="1">
      <x:c r="A2" s="10" t="str">
        <x:v>العلاقة المباشرة بين المتطلبات وآلية اللعب؛ لا توجد مراحل افتراضية موهمة بأنها مكتملة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5" ht="34" customHeight="1">
      <x:c r="A5" s="21" t="str">
        <x:v>ID</x:v>
      </x:c>
      <x:c r="B5" s="21" t="str">
        <x:v>الفصل</x:v>
      </x:c>
      <x:c r="C5" s="21" t="str">
        <x:v>اسم المرحلة</x:v>
      </x:c>
      <x:c r="D5" s="21" t="str">
        <x:v>الميكانيك</x:v>
      </x:c>
      <x:c r="E5" s="21" t="str">
        <x:v>فعل اللاعب</x:v>
      </x:c>
      <x:c r="F5" s="21" t="str">
        <x:v>شرط الفتح</x:v>
      </x:c>
      <x:c r="G5" s="21" t="str">
        <x:v>المكافأة/التالي</x:v>
      </x:c>
      <x:c r="H5" s="21" t="str">
        <x:v>المكان</x:v>
      </x:c>
      <x:c r="I5" s="21" t="str">
        <x:v>المدة المستهدفة</x:v>
      </x:c>
      <x:c r="J5" s="21" t="str">
        <x:v>الحالة</x:v>
      </x:c>
      <x:c r="K5" s="21" t="str">
        <x:v>الأولوية</x:v>
      </x:c>
    </x:row>
    <x:row r="6" ht="43" customHeight="1">
      <x:c r="A6" s="28" t="str">
        <x:v>C1-01</x:v>
      </x:c>
      <x:c r="B6" s="28" t="str">
        <x:v>القمر</x:v>
      </x:c>
      <x:c r="C6" s="28" t="str">
        <x:v>البداية</x:v>
      </x:c>
      <x:c r="D6" s="28" t="str">
        <x:v>Entry</x:v>
      </x:c>
      <x:c r="E6" s="28" t="str">
        <x:v>ادخل ORIGIN وافتح Apollo 15</x:v>
      </x:c>
      <x:c r="F6" s="28" t="str">
        <x:v>لا متطلبات</x:v>
      </x:c>
      <x:c r="G6" s="28" t="str">
        <x:v>فتح المهمة</x:v>
      </x:c>
      <x:c r="H6" s="28" t="str">
        <x:v>بيئة ORIGIN</x:v>
      </x:c>
      <x:c r="I6" s="28" t="str">
        <x:v>20–60 ثانية</x:v>
      </x:c>
      <x:c r="J6" s="28" t="str">
        <x:v>موجود حاليًا</x:v>
      </x:c>
      <x:c r="K6" s="28" t="str">
        <x:v>P0</x:v>
      </x:c>
    </x:row>
    <x:row r="7" ht="43" customHeight="1">
      <x:c r="A7" s="28" t="str">
        <x:v>C1-02</x:v>
      </x:c>
      <x:c r="B7" s="28" t="str">
        <x:v>القمر</x:v>
      </x:c>
      <x:c r="C7" s="28" t="str">
        <x:v>استكشاف</x:v>
      </x:c>
      <x:c r="D7" s="28" t="str">
        <x:v>Explore</x:v>
      </x:c>
      <x:c r="E7" s="28" t="str">
        <x:v>تحرك نحو إشارات الأدلة</x:v>
      </x:c>
      <x:c r="F7" s="28" t="str">
        <x:v>C1-01</x:v>
      </x:c>
      <x:c r="G7" s="28" t="str">
        <x:v>3 أدلة أساسية</x:v>
      </x:c>
      <x:c r="H7" s="28" t="str">
        <x:v>عالم القمر</x:v>
      </x:c>
      <x:c r="I7" s="28" t="str">
        <x:v>2–3 دقائق</x:v>
      </x:c>
      <x:c r="J7" s="28" t="str">
        <x:v>موجود حاليًا</x:v>
      </x:c>
      <x:c r="K7" s="28" t="str">
        <x:v>P0</x:v>
      </x:c>
    </x:row>
    <x:row r="8" ht="43" customHeight="1">
      <x:c r="A8" s="28" t="str">
        <x:v>C1-03</x:v>
      </x:c>
      <x:c r="B8" s="28" t="str">
        <x:v>القمر</x:v>
      </x:c>
      <x:c r="C8" s="28" t="str">
        <x:v>الإشارة المقطوعة</x:v>
      </x:c>
      <x:c r="D8" s="28" t="str">
        <x:v>Circuit</x:v>
      </x:c>
      <x:c r="E8" s="28" t="str">
        <x:v>دوّر موصلات حتى تعمل الشبكة</x:v>
      </x:c>
      <x:c r="F8" s="28" t="str">
        <x:v>C1-02 + 3 أدلة</x:v>
      </x:c>
      <x:c r="G8" s="28" t="str">
        <x:v>فتح الربط العلمي</x:v>
      </x:c>
      <x:c r="H8" s="28" t="str">
        <x:v>لوحة الدائرة</x:v>
      </x:c>
      <x:c r="I8" s="28" t="str">
        <x:v>1–2 دقيقة</x:v>
      </x:c>
      <x:c r="J8" s="28" t="str">
        <x:v>موجود حاليًا</x:v>
      </x:c>
      <x:c r="K8" s="28" t="str">
        <x:v>P0</x:v>
      </x:c>
    </x:row>
    <x:row r="9" ht="43" customHeight="1">
      <x:c r="A9" s="28" t="str">
        <x:v>C1-04</x:v>
      </x:c>
      <x:c r="B9" s="28" t="str">
        <x:v>القمر</x:v>
      </x:c>
      <x:c r="C9" s="28" t="str">
        <x:v>الاستدلال</x:v>
      </x:c>
      <x:c r="D9" s="28" t="str">
        <x:v>Evidence</x:v>
      </x:c>
      <x:c r="E9" s="28" t="str">
        <x:v>اربط 3 أدلة بنتائجها</x:v>
      </x:c>
      <x:c r="F9" s="28" t="str">
        <x:v>C1-03</x:v>
      </x:c>
      <x:c r="G9" s="28" t="str">
        <x:v>فتح اختيار الطريق</x:v>
      </x:c>
      <x:c r="H9" s="28" t="str">
        <x:v>لوحة الربط</x:v>
      </x:c>
      <x:c r="I9" s="28" t="str">
        <x:v>1–2 دقيقة</x:v>
      </x:c>
      <x:c r="J9" s="28" t="str">
        <x:v>موجود حاليًا</x:v>
      </x:c>
      <x:c r="K9" s="28" t="str">
        <x:v>P0</x:v>
      </x:c>
    </x:row>
    <x:row r="10" ht="43" customHeight="1">
      <x:c r="A10" s="28" t="str">
        <x:v>C1-05</x:v>
      </x:c>
      <x:c r="B10" s="28" t="str">
        <x:v>القمر</x:v>
      </x:c>
      <x:c r="C10" s="28" t="str">
        <x:v>اختيار المسار</x:v>
      </x:c>
      <x:c r="D10" s="28" t="str">
        <x:v>Branch</x:v>
      </x:c>
      <x:c r="E10" s="28" t="str">
        <x:v>اختر آمن/تلال/استكشاف</x:v>
      </x:c>
      <x:c r="F10" s="28" t="str">
        <x:v>C1-04</x:v>
      </x:c>
      <x:c r="G10" s="28" t="str">
        <x:v>بداية القيادة</x:v>
      </x:c>
      <x:c r="H10" s="28" t="str">
        <x:v>خريطة افتراضية</x:v>
      </x:c>
      <x:c r="I10" s="28" t="str">
        <x:v>30 ثانية</x:v>
      </x:c>
      <x:c r="J10" s="28" t="str">
        <x:v>موجود حاليًا</x:v>
      </x:c>
      <x:c r="K10" s="28" t="str">
        <x:v>P0</x:v>
      </x:c>
    </x:row>
    <x:row r="11" ht="43" customHeight="1">
      <x:c r="A11" s="28" t="str">
        <x:v>C1-06</x:v>
      </x:c>
      <x:c r="B11" s="28" t="str">
        <x:v>القمر</x:v>
      </x:c>
      <x:c r="C11" s="28" t="str">
        <x:v>المركبة</x:v>
      </x:c>
      <x:c r="D11" s="28" t="str">
        <x:v>Drive</x:v>
      </x:c>
      <x:c r="E11" s="28" t="str">
        <x:v>اجمع 3 حزم خلال القيادة</x:v>
      </x:c>
      <x:c r="F11" s="28" t="str">
        <x:v>C1-05</x:v>
      </x:c>
      <x:c r="G11" s="28" t="str">
        <x:v>المنارة التالية</x:v>
      </x:c>
      <x:c r="H11" s="28" t="str">
        <x:v>مسار القمر</x:v>
      </x:c>
      <x:c r="I11" s="28" t="str">
        <x:v>2–4 دقائق</x:v>
      </x:c>
      <x:c r="J11" s="28" t="str">
        <x:v>موجود حاليًا</x:v>
      </x:c>
      <x:c r="K11" s="28" t="str">
        <x:v>P0</x:v>
      </x:c>
    </x:row>
    <x:row r="12" ht="43" customHeight="1">
      <x:c r="A12" s="28" t="str">
        <x:v>C1-07</x:v>
      </x:c>
      <x:c r="B12" s="28" t="str">
        <x:v>القمر</x:v>
      </x:c>
      <x:c r="C12" s="28" t="str">
        <x:v>فحص الحزم</x:v>
      </x:c>
      <x:c r="D12" s="28" t="str">
        <x:v>Sort</x:v>
      </x:c>
      <x:c r="E12" s="28" t="str">
        <x:v>صنف بيانات الحزم العلمية</x:v>
      </x:c>
      <x:c r="F12" s="28" t="str">
        <x:v>C1-06 + 3 حزم</x:v>
      </x:c>
      <x:c r="G12" s="28" t="str">
        <x:v>فتح المعمل</x:v>
      </x:c>
      <x:c r="H12" s="28" t="str">
        <x:v>المختبر</x:v>
      </x:c>
      <x:c r="I12" s="28" t="str">
        <x:v>1 دقيقة</x:v>
      </x:c>
      <x:c r="J12" s="28" t="str">
        <x:v>موجود حاليًا</x:v>
      </x:c>
      <x:c r="K12" s="28" t="str">
        <x:v>P0</x:v>
      </x:c>
    </x:row>
    <x:row r="13" ht="43" customHeight="1">
      <x:c r="A13" s="28" t="str">
        <x:v>C1-08</x:v>
      </x:c>
      <x:c r="B13" s="28" t="str">
        <x:v>القمر</x:v>
      </x:c>
      <x:c r="C13" s="28" t="str">
        <x:v>نموذج الزمن</x:v>
      </x:c>
      <x:c r="D13" s="28" t="str">
        <x:v>Experiment</x:v>
      </x:c>
      <x:c r="E13" s="28" t="str">
        <x:v>جرّب سيناريو المشي/المركبة</x:v>
      </x:c>
      <x:c r="F13" s="28" t="str">
        <x:v>C1-07</x:v>
      </x:c>
      <x:c r="G13" s="28" t="str">
        <x:v>استنتاج معتمد</x:v>
      </x:c>
      <x:c r="H13" s="28" t="str">
        <x:v>حاسبة داخل اللعبة</x:v>
      </x:c>
      <x:c r="I13" s="28" t="str">
        <x:v>1–2 دقيقة</x:v>
      </x:c>
      <x:c r="J13" s="28" t="str">
        <x:v>موجود حاليًا</x:v>
      </x:c>
      <x:c r="K13" s="28" t="str">
        <x:v>P0</x:v>
      </x:c>
    </x:row>
    <x:row r="14" ht="43" customHeight="1">
      <x:c r="A14" s="28" t="str">
        <x:v>C1-09</x:v>
      </x:c>
      <x:c r="B14" s="28" t="str">
        <x:v>القمر</x:v>
      </x:c>
      <x:c r="C14" s="28" t="str">
        <x:v>التفسير</x:v>
      </x:c>
      <x:c r="D14" s="28" t="str">
        <x:v>Conclusion</x:v>
      </x:c>
      <x:c r="E14" s="28" t="str">
        <x:v>صغ العلاقة بين الانتقال والدراسة</x:v>
      </x:c>
      <x:c r="F14" s="28" t="str">
        <x:v>C1-08 + أدلة</x:v>
      </x:c>
      <x:c r="G14" s="28" t="str">
        <x:v>فتح معرض Apollo</x:v>
      </x:c>
      <x:c r="H14" s="28" t="str">
        <x:v>سجل الاكتشاف</x:v>
      </x:c>
      <x:c r="I14" s="28" t="str">
        <x:v>1 دقيقة</x:v>
      </x:c>
      <x:c r="J14" s="28" t="str">
        <x:v>موجود حاليًا</x:v>
      </x:c>
      <x:c r="K14" s="28" t="str">
        <x:v>P0</x:v>
      </x:c>
    </x:row>
    <x:row r="15" ht="43" customHeight="1">
      <x:c r="A15" s="28" t="str">
        <x:v>C1-10</x:v>
      </x:c>
      <x:c r="B15" s="28" t="str">
        <x:v>القمر</x:v>
      </x:c>
      <x:c r="C15" s="28" t="str">
        <x:v>الإرث</x:v>
      </x:c>
      <x:c r="D15" s="28" t="str">
        <x:v>Unlock</x:v>
      </x:c>
      <x:c r="E15" s="28" t="str">
        <x:v>تظهر وصلة ORIGIN ويتاح المريخ</x:v>
      </x:c>
      <x:c r="F15" s="28" t="str">
        <x:v>C1-09</x:v>
      </x:c>
      <x:c r="G15" s="28" t="str">
        <x:v>Opportunity</x:v>
      </x:c>
      <x:c r="H15" s="28" t="str">
        <x:v>متحف</x:v>
      </x:c>
      <x:c r="I15" s="28" t="str">
        <x:v>30 ثانية</x:v>
      </x:c>
      <x:c r="J15" s="28" t="str">
        <x:v>موجود حاليًا</x:v>
      </x:c>
      <x:c r="K15" s="28" t="str">
        <x:v>P0</x:v>
      </x:c>
    </x:row>
    <x:row r="16" ht="43" customHeight="1">
      <x:c r="A16" s="28" t="str">
        <x:v>C2-01</x:v>
      </x:c>
      <x:c r="B16" s="28" t="str">
        <x:v>المريخ</x:v>
      </x:c>
      <x:c r="C16" s="28" t="str">
        <x:v>إشارة جديدة</x:v>
      </x:c>
      <x:c r="D16" s="28" t="str">
        <x:v>Entry</x:v>
      </x:c>
      <x:c r="E16" s="28" t="str">
        <x:v>افتح Opportunity من ORIGIN</x:v>
      </x:c>
      <x:c r="F16" s="28" t="str">
        <x:v>C1-10</x:v>
      </x:c>
      <x:c r="G16" s="28" t="str">
        <x:v>نظام الطاقة</x:v>
      </x:c>
      <x:c r="H16" s="28" t="str">
        <x:v>مريخ</x:v>
      </x:c>
      <x:c r="I16" s="28" t="str">
        <x:v>30 ثانية</x:v>
      </x:c>
      <x:c r="J16" s="28" t="str">
        <x:v>موجود حاليًا</x:v>
      </x:c>
      <x:c r="K16" s="28" t="str">
        <x:v>P0</x:v>
      </x:c>
    </x:row>
    <x:row r="17" ht="43" customHeight="1">
      <x:c r="A17" s="28" t="str">
        <x:v>C2-02</x:v>
      </x:c>
      <x:c r="B17" s="28" t="str">
        <x:v>المريخ</x:v>
      </x:c>
      <x:c r="C17" s="28" t="str">
        <x:v>Sol 1</x:v>
      </x:c>
      <x:c r="D17" s="28" t="str">
        <x:v>Resource</x:v>
      </x:c>
      <x:c r="E17" s="28" t="str">
        <x:v>اختر تشغيل أجهزة اليوم الأول</x:v>
      </x:c>
      <x:c r="F17" s="28" t="str">
        <x:v>C2-01</x:v>
      </x:c>
      <x:c r="G17" s="28" t="str">
        <x:v>طاقة اليوم 2</x:v>
      </x:c>
      <x:c r="H17" s="28" t="str">
        <x:v>لوحة سول</x:v>
      </x:c>
      <x:c r="I17" s="28" t="str">
        <x:v>45 ثانية</x:v>
      </x:c>
      <x:c r="J17" s="28" t="str">
        <x:v>موجود حاليًا</x:v>
      </x:c>
      <x:c r="K17" s="28" t="str">
        <x:v>P0</x:v>
      </x:c>
    </x:row>
    <x:row r="18" ht="43" customHeight="1">
      <x:c r="A18" s="28" t="str">
        <x:v>C2-03</x:v>
      </x:c>
      <x:c r="B18" s="28" t="str">
        <x:v>المريخ</x:v>
      </x:c>
      <x:c r="C18" s="28" t="str">
        <x:v>Sol 2</x:v>
      </x:c>
      <x:c r="D18" s="28" t="str">
        <x:v>Resource</x:v>
      </x:c>
      <x:c r="E18" s="28" t="str">
        <x:v>وازن الاستكشاف والطاقة</x:v>
      </x:c>
      <x:c r="F18" s="28" t="str">
        <x:v>C2-02</x:v>
      </x:c>
      <x:c r="G18" s="28" t="str">
        <x:v>طاقة اليوم 3</x:v>
      </x:c>
      <x:c r="H18" s="28" t="str">
        <x:v>لوحة سول</x:v>
      </x:c>
      <x:c r="I18" s="28" t="str">
        <x:v>45 ثانية</x:v>
      </x:c>
      <x:c r="J18" s="28" t="str">
        <x:v>موجود حاليًا</x:v>
      </x:c>
      <x:c r="K18" s="28" t="str">
        <x:v>P0</x:v>
      </x:c>
    </x:row>
    <x:row r="19" ht="43" customHeight="1">
      <x:c r="A19" s="28" t="str">
        <x:v>C2-04</x:v>
      </x:c>
      <x:c r="B19" s="28" t="str">
        <x:v>المريخ</x:v>
      </x:c>
      <x:c r="C19" s="28" t="str">
        <x:v>Sol 3</x:v>
      </x:c>
      <x:c r="D19" s="28" t="str">
        <x:v>Resource</x:v>
      </x:c>
      <x:c r="E19" s="28" t="str">
        <x:v>أثر عاصفة غبار محاكية</x:v>
      </x:c>
      <x:c r="F19" s="28" t="str">
        <x:v>C2-03</x:v>
      </x:c>
      <x:c r="G19" s="28" t="str">
        <x:v>طاقة اليوم 4</x:v>
      </x:c>
      <x:c r="H19" s="28" t="str">
        <x:v>لوحة سول</x:v>
      </x:c>
      <x:c r="I19" s="28" t="str">
        <x:v>45 ثانية</x:v>
      </x:c>
      <x:c r="J19" s="28" t="str">
        <x:v>موجود حاليًا</x:v>
      </x:c>
      <x:c r="K19" s="28" t="str">
        <x:v>P0</x:v>
      </x:c>
    </x:row>
    <x:row r="20" ht="43" customHeight="1">
      <x:c r="A20" s="28" t="str">
        <x:v>C2-05</x:v>
      </x:c>
      <x:c r="B20" s="28" t="str">
        <x:v>المريخ</x:v>
      </x:c>
      <x:c r="C20" s="28" t="str">
        <x:v>Sol 4</x:v>
      </x:c>
      <x:c r="D20" s="28" t="str">
        <x:v>Resource</x:v>
      </x:c>
      <x:c r="E20" s="28" t="str">
        <x:v>حافظ على قدرة الاتصال</x:v>
      </x:c>
      <x:c r="F20" s="28" t="str">
        <x:v>C2-04</x:v>
      </x:c>
      <x:c r="G20" s="28" t="str">
        <x:v>فك شيفرة</x:v>
      </x:c>
      <x:c r="H20" s="28" t="str">
        <x:v>لوحة سول</x:v>
      </x:c>
      <x:c r="I20" s="28" t="str">
        <x:v>45 ثانية</x:v>
      </x:c>
      <x:c r="J20" s="28" t="str">
        <x:v>موجود حاليًا</x:v>
      </x:c>
      <x:c r="K20" s="28" t="str">
        <x:v>P0</x:v>
      </x:c>
    </x:row>
    <x:row r="21" ht="43" customHeight="1">
      <x:c r="A21" s="28" t="str">
        <x:v>C2-06</x:v>
      </x:c>
      <x:c r="B21" s="28" t="str">
        <x:v>المريخ</x:v>
      </x:c>
      <x:c r="C21" s="28" t="str">
        <x:v>شفرة الإشارة</x:v>
      </x:c>
      <x:c r="D21" s="28" t="str">
        <x:v>Cipher</x:v>
      </x:c>
      <x:c r="E21" s="28" t="str">
        <x:v>استنتج رمزًا من قراءاتك</x:v>
      </x:c>
      <x:c r="F21" s="28" t="str">
        <x:v>C2-05</x:v>
      </x:c>
      <x:c r="G21" s="28" t="str">
        <x:v>إحياء سجل المتحف</x:v>
      </x:c>
      <x:c r="H21" s="28" t="str">
        <x:v>واجهة اتصال</x:v>
      </x:c>
      <x:c r="I21" s="28" t="str">
        <x:v>1 دقيقة</x:v>
      </x:c>
      <x:c r="J21" s="28" t="str">
        <x:v>موجود حاليًا</x:v>
      </x:c>
      <x:c r="K21" s="28" t="str">
        <x:v>P0</x:v>
      </x:c>
    </x:row>
    <x:row r="22" ht="43" customHeight="1">
      <x:c r="A22" s="28" t="str">
        <x:v>C2-07</x:v>
      </x:c>
      <x:c r="B22" s="28" t="str">
        <x:v>المريخ</x:v>
      </x:c>
      <x:c r="C22" s="28" t="str">
        <x:v>متحف المريخ</x:v>
      </x:c>
      <x:c r="D22" s="28" t="str">
        <x:v>Unlock</x:v>
      </x:c>
      <x:c r="E22" s="28" t="str">
        <x:v>اعرض التاريخ مقابل المحاكاة</x:v>
      </x:c>
      <x:c r="F22" s="28" t="str">
        <x:v>C2-06</x:v>
      </x:c>
      <x:c r="G22" s="28" t="str">
        <x:v>نهاية أولية</x:v>
      </x:c>
      <x:c r="H22" s="28" t="str">
        <x:v>ORIGIN</x:v>
      </x:c>
      <x:c r="I22" s="28" t="str">
        <x:v>30 ثانية</x:v>
      </x:c>
      <x:c r="J22" s="28" t="str">
        <x:v>موجود حاليًا</x:v>
      </x:c>
      <x:c r="K22" s="28" t="str">
        <x:v>P0</x:v>
      </x:c>
    </x:row>
    <x:row r="23" ht="43" customHeight="1">
      <x:c r="A23" s="28" t="str">
        <x:v>F-01</x:v>
      </x:c>
      <x:c r="B23" s="28" t="str">
        <x:v>مستقبلي</x:v>
      </x:c>
      <x:c r="C23" s="28" t="str">
        <x:v>InSight — نبض المريخ</x:v>
      </x:c>
      <x:c r="D23" s="28" t="str">
        <x:v>تحليل اهتزازات وزلازل</x:v>
      </x:c>
      <x:c r="E23" s="28" t="str">
        <x:v>تصور غير منفّذ</x:v>
      </x:c>
      <x:c r="F23" s="28" t="str">
        <x:v>C2-07</x:v>
      </x:c>
      <x:c r="G23" s="28" t="str">
        <x:v>ليس في نموذج 2026</x:v>
      </x:c>
      <x:c r="H23" s="28" t="str">
        <x:v>فصل جديد</x:v>
      </x:c>
      <x:c r="I23" s="28" t="str">
        <x:v>15–25 دقيقة</x:v>
      </x:c>
      <x:c r="J23" s="28" t="str">
        <x:v>مؤجل</x:v>
      </x:c>
      <x:c r="K23" s="28" t="str">
        <x:v>P2</x:v>
      </x:c>
    </x:row>
    <x:row r="24" ht="43" customHeight="1">
      <x:c r="A24" s="28" t="str">
        <x:v>F-02</x:v>
      </x:c>
      <x:c r="B24" s="28" t="str">
        <x:v>مستقبلي</x:v>
      </x:c>
      <x:c r="C24" s="28" t="str">
        <x:v>Spirit — الطريق الصعب</x:v>
      </x:c>
      <x:c r="D24" s="28" t="str">
        <x:v>جر/احتكاك/تضاريس</x:v>
      </x:c>
      <x:c r="E24" s="28" t="str">
        <x:v>تصور غير منفّذ</x:v>
      </x:c>
      <x:c r="F24" s="28" t="str">
        <x:v>C2-07</x:v>
      </x:c>
      <x:c r="G24" s="28" t="str">
        <x:v>ليس في نموذج 2026</x:v>
      </x:c>
      <x:c r="H24" s="28" t="str">
        <x:v>فصل جديد</x:v>
      </x:c>
      <x:c r="I24" s="28" t="str">
        <x:v>15–25 دقيقة</x:v>
      </x:c>
      <x:c r="J24" s="28" t="str">
        <x:v>مؤجل</x:v>
      </x:c>
      <x:c r="K24" s="28" t="str">
        <x:v>P2</x:v>
      </x:c>
    </x:row>
    <x:row r="25" ht="43" customHeight="1">
      <x:c r="A25" s="28" t="str">
        <x:v>F-03</x:v>
      </x:c>
      <x:c r="B25" s="28" t="str">
        <x:v>مستقبلي</x:v>
      </x:c>
      <x:c r="C25" s="28" t="str">
        <x:v>Phoenix — تحت الغبار</x:v>
      </x:c>
      <x:c r="D25" s="28" t="str">
        <x:v>عينات الجليد المائي</x:v>
      </x:c>
      <x:c r="E25" s="28" t="str">
        <x:v>تصور غير منفّذ</x:v>
      </x:c>
      <x:c r="F25" s="28" t="str">
        <x:v>C2-07</x:v>
      </x:c>
      <x:c r="G25" s="28" t="str">
        <x:v>ليس في نموذج 2026</x:v>
      </x:c>
      <x:c r="H25" s="28" t="str">
        <x:v>فصل جديد</x:v>
      </x:c>
      <x:c r="I25" s="28" t="str">
        <x:v>15–25 دقيقة</x:v>
      </x:c>
      <x:c r="J25" s="28" t="str">
        <x:v>مؤجل</x:v>
      </x:c>
      <x:c r="K25" s="28" t="str">
        <x:v>P2</x:v>
      </x:c>
    </x:row>
    <x:row r="26" ht="43" customHeight="1">
      <x:c r="A26" s="28" t="str">
        <x:v>F-04</x:v>
      </x:c>
      <x:c r="B26" s="28" t="str">
        <x:v>مستقبلي</x:v>
      </x:c>
      <x:c r="C26" s="28" t="str">
        <x:v>Apollo 17 — إرث أطول</x:v>
      </x:c>
      <x:c r="D26" s="28" t="str">
        <x:v>استكشاف ومقارنة</x:v>
      </x:c>
      <x:c r="E26" s="28" t="str">
        <x:v>تصور غير منفّذ</x:v>
      </x:c>
      <x:c r="F26" s="28" t="str">
        <x:v>C1-10</x:v>
      </x:c>
      <x:c r="G26" s="28" t="str">
        <x:v>ليس في نموذج 2026</x:v>
      </x:c>
      <x:c r="H26" s="28" t="str">
        <x:v>فصل جديد</x:v>
      </x:c>
      <x:c r="I26" s="28" t="str">
        <x:v>15–25 دقيقة</x:v>
      </x:c>
      <x:c r="J26" s="28" t="str">
        <x:v>مؤجل</x:v>
      </x:c>
      <x:c r="K26" s="28" t="str">
        <x:v>P2</x:v>
      </x:c>
    </x:row>
    <x:row r="27" ht="43" customHeight="1">
      <x:c r="A27" s="28" t="str">
        <x:v>F-05</x:v>
      </x:c>
      <x:c r="B27" s="28" t="str">
        <x:v>مستقبلي</x:v>
      </x:c>
      <x:c r="C27" s="28" t="str">
        <x:v>المعرض العالمي</x:v>
      </x:c>
      <x:c r="D27" s="28" t="str">
        <x:v>علاقات علمية بين 4 مهمات</x:v>
      </x:c>
      <x:c r="E27" s="28" t="str">
        <x:v>تصور غير منفّذ</x:v>
      </x:c>
      <x:c r="F27" s="28" t="str">
        <x:v>أي فصلين مكتملين</x:v>
      </x:c>
      <x:c r="G27" s="28" t="str">
        <x:v>ليس في نموذج 2026</x:v>
      </x:c>
      <x:c r="H27" s="28" t="str">
        <x:v>فصل جديد</x:v>
      </x:c>
      <x:c r="I27" s="28" t="str">
        <x:v>15–25 دقيقة</x:v>
      </x:c>
      <x:c r="J27" s="28" t="str">
        <x:v>مؤجل</x:v>
      </x:c>
      <x:c r="K27" s="28" t="str">
        <x:v>P2</x:v>
      </x:c>
    </x:row>
    <x:row r="28" ht="43" customHeight="1">
      <x:c r="A28" s="28" t="str">
        <x:v>F-06</x:v>
      </x:c>
      <x:c r="B28" s="28" t="str">
        <x:v>مستقبلي</x:v>
      </x:c>
      <x:c r="C28" s="28" t="str">
        <x:v>تحدي الباحث</x:v>
      </x:c>
      <x:c r="D28" s="28" t="str">
        <x:v>إعادة تشغيل من دون تلميحات</x:v>
      </x:c>
      <x:c r="E28" s="28" t="str">
        <x:v>تصور غير منفّذ</x:v>
      </x:c>
      <x:c r="F28" s="28" t="str">
        <x:v>C1-10</x:v>
      </x:c>
      <x:c r="G28" s="28" t="str">
        <x:v>ليس في نموذج 2026</x:v>
      </x:c>
      <x:c r="H28" s="28" t="str">
        <x:v>فصل جديد</x:v>
      </x:c>
      <x:c r="I28" s="28" t="str">
        <x:v>15–25 دقيقة</x:v>
      </x:c>
      <x:c r="J28" s="28" t="str">
        <x:v>مؤجل</x:v>
      </x:c>
      <x:c r="K28" s="28" t="str">
        <x:v>P2</x:v>
      </x:c>
    </x:row>
    <x:row r="29" ht="43" customHeight="1">
      <x:c r="A29" s="28" t="str">
        <x:v>F-07</x:v>
      </x:c>
      <x:c r="B29" s="28" t="str">
        <x:v>مستقبلي</x:v>
      </x:c>
      <x:c r="C29" s="28" t="str">
        <x:v>فصل Voyager الإضافي</x:v>
      </x:c>
      <x:c r="D29" s="28" t="str">
        <x:v>بعثة مستمرة لا معدات سطح مهجورة</x:v>
      </x:c>
      <x:c r="E29" s="28" t="str">
        <x:v>تصور غير منفّذ</x:v>
      </x:c>
      <x:c r="F29" s="28" t="str">
        <x:v>المعرض العالمي</x:v>
      </x:c>
      <x:c r="G29" s="28" t="str">
        <x:v>ليس في نموذج 2026</x:v>
      </x:c>
      <x:c r="H29" s="28" t="str">
        <x:v>فصل جديد</x:v>
      </x:c>
      <x:c r="I29" s="28" t="str">
        <x:v>15–25 دقيقة</x:v>
      </x:c>
      <x:c r="J29" s="28" t="str">
        <x:v>مؤجل</x:v>
      </x:c>
      <x:c r="K29" s="28" t="str">
        <x:v>P2</x:v>
      </x:c>
    </x:row>
  </x:sheetData>
  <x:mergeCells>
    <x:mergeCell ref="A1:K1"/>
    <x:mergeCell ref="A2:K2"/>
    <x:mergeCell ref="A3:K3"/>
  </x:mergeCells>
  <x:conditionalFormatting sqref="J6:J29">
    <x:cfRule type="expression" dxfId="12" priority="1">
      <x:formula>J6="مكتمل"</x:formula>
    </x:cfRule>
    <x:cfRule type="expression" dxfId="13" priority="2">
      <x:formula>J6="محظور حتى التحقق"</x:formula>
    </x:cfRule>
    <x:cfRule type="expression" dxfId="14" priority="3">
      <x:formula>J6="يحتاج تحقق"</x:formula>
    </x:cfRule>
  </x:conditionalFormatting>
  <x:conditionalFormatting sqref="K6:K29">
    <x:cfRule type="expression" dxfId="15" priority="4">
      <x:formula>K6="P0"</x:formula>
    </x:cfRule>
    <x:cfRule type="expression" dxfId="16" priority="5">
      <x:formula>K6="حرج"</x:formula>
    </x:cfRule>
  </x:conditionalFormatting>
  <x:dataValidations count="1">
    <x:dataValidation type="list" sqref="J6:J29">
      <x:formula1>"موجود حاليًا,قيد التطوير,مخطط,يحتاج تحقق,مكتمل,لم يبدأ,مؤجل,محظور حتى التحقق,غير منطبق"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1438ea62594ec8"/>
  </x:tableParts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9" hidden="0" customWidth="1"/>
    <x:col min="4" max="4" width="52" hidden="0" customWidth="1"/>
    <x:col min="5" max="5" width="78" hidden="0" customWidth="1"/>
    <x:col min="6" max="6" width="78" hidden="0" customWidth="1"/>
    <x:col min="7" max="7" width="74" hidden="0" customWidth="1"/>
    <x:col min="8" max="8" width="52" hidden="0" customWidth="1"/>
    <x:col min="9" max="9" width="20" hidden="0" customWidth="1"/>
    <x:col min="10" max="10" width="20" hidden="0" customWidth="1"/>
    <x:col min="11" max="11" width="13" hidden="0" customWidth="1"/>
  </x:cols>
  <x:sheetData>
    <x:row r="1" ht="38" customHeight="1">
      <x:c r="A1" s="4" t="str">
        <x:v>الألغاز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9" customHeight="1">
      <x:c r="A2" s="10" t="str">
        <x:v>35 آلية لغز: المدخلات، ما يجعلها ممتعة، شرط إكمالها، مفهومها التعليمي، والحالة الواقعية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5" ht="34" customHeight="1">
      <x:c r="A5" s="21" t="str">
        <x:v>ID</x:v>
      </x:c>
      <x:c r="B5" s="21" t="str">
        <x:v>الفصل</x:v>
      </x:c>
      <x:c r="C5" s="21" t="str">
        <x:v>اسم اللغز</x:v>
      </x:c>
      <x:c r="D5" s="21" t="str">
        <x:v>هدف اللاعب</x:v>
      </x:c>
      <x:c r="E5" s="21" t="str">
        <x:v>طريقة اللعب</x:v>
      </x:c>
      <x:c r="F5" s="21" t="str">
        <x:v>ما يراه اللاعب</x:v>
      </x:c>
      <x:c r="G5" s="21" t="str">
        <x:v>الفشل/التغذية الراجعة</x:v>
      </x:c>
      <x:c r="H5" s="21" t="str">
        <x:v>المفهوم العلمي</x:v>
      </x:c>
      <x:c r="I5" s="21" t="str">
        <x:v>نوع التحدي</x:v>
      </x:c>
      <x:c r="J5" s="21" t="str">
        <x:v>الحالة</x:v>
      </x:c>
      <x:c r="K5" s="21" t="str">
        <x:v>الأولوية</x:v>
      </x:c>
    </x:row>
    <x:row r="6" ht="43" customHeight="1">
      <x:c r="A6" s="28" t="str">
        <x:v>PZ01</x:v>
      </x:c>
      <x:c r="B6" s="28" t="str">
        <x:v>القمر</x:v>
      </x:c>
      <x:c r="C6" s="28" t="str">
        <x:v>Echo Hunt</x:v>
      </x:c>
      <x:c r="D6" s="28" t="str">
        <x:v>عثر على 3 إشارات</x:v>
      </x:c>
      <x:c r="E6" s="28" t="str">
        <x:v>استكشف المجال واجمع إشارات الجهاز</x:v>
      </x:c>
      <x:c r="F6" s="28" t="str">
        <x:v>3 بطاقات مع مؤشر قرب</x:v>
      </x:c>
      <x:c r="G6" s="28" t="str">
        <x:v>لا تتاح الدائرة قبل اكتمال 3</x:v>
      </x:c>
      <x:c r="H6" s="28" t="str">
        <x:v>تمييز أجزاء المركبة</x:v>
      </x:c>
      <x:c r="I6" s="28" t="str">
        <x:v>جمع وملاحظة</x:v>
      </x:c>
      <x:c r="J6" s="28" t="str">
        <x:v>موجود حاليًا</x:v>
      </x:c>
      <x:c r="K6" s="28" t="str">
        <x:v>P0</x:v>
      </x:c>
    </x:row>
    <x:row r="7" ht="43" customHeight="1">
      <x:c r="A7" s="28" t="str">
        <x:v>PZ02</x:v>
      </x:c>
      <x:c r="B7" s="28" t="str">
        <x:v>القمر</x:v>
      </x:c>
      <x:c r="C7" s="28" t="str">
        <x:v>Circuit Repair</x:v>
      </x:c>
      <x:c r="D7" s="28" t="str">
        <x:v>أعد توصيل الشبكة</x:v>
      </x:c>
      <x:c r="E7" s="28" t="str">
        <x:v>دوّر موصلات حتى يظهر مسار مستمر</x:v>
      </x:c>
      <x:c r="F7" s="28" t="str">
        <x:v>أضواء تتحول عند اتصال المصدر بالمخرج</x:v>
      </x:c>
      <x:c r="G7" s="28" t="str">
        <x:v>محاولة دوران بلا مسار</x:v>
      </x:c>
      <x:c r="H7" s="28" t="str">
        <x:v>فهم الاتصال في شبكة كهربائية تعليمية</x:v>
      </x:c>
      <x:c r="I7" s="28" t="str">
        <x:v>منطق مكاني</x:v>
      </x:c>
      <x:c r="J7" s="28" t="str">
        <x:v>موجود حاليًا</x:v>
      </x:c>
      <x:c r="K7" s="28" t="str">
        <x:v>P0</x:v>
      </x:c>
    </x:row>
    <x:row r="8" ht="43" customHeight="1">
      <x:c r="A8" s="28" t="str">
        <x:v>PZ03</x:v>
      </x:c>
      <x:c r="B8" s="28" t="str">
        <x:v>القمر</x:v>
      </x:c>
      <x:c r="C8" s="28" t="str">
        <x:v>Scientific Linking</x:v>
      </x:c>
      <x:c r="D8" s="28" t="str">
        <x:v>صل الدليل بالنتيجة</x:v>
      </x:c>
      <x:c r="E8" s="28" t="str">
        <x:v>طابق نظام الحركة/المعدات/السياق العلمي</x:v>
      </x:c>
      <x:c r="F8" s="28" t="str">
        <x:v>يظهر سبب الاختيار الصحيح</x:v>
      </x:c>
      <x:c r="G8" s="28" t="str">
        <x:v>خسارة XP بسيطة للمحاولة الخاطئة</x:v>
      </x:c>
      <x:c r="H8" s="28" t="str">
        <x:v>ربط هندسة الحركة بفرص البحث</x:v>
      </x:c>
      <x:c r="I8" s="28" t="str">
        <x:v>استدلال</x:v>
      </x:c>
      <x:c r="J8" s="28" t="str">
        <x:v>موجود حاليًا</x:v>
      </x:c>
      <x:c r="K8" s="28" t="str">
        <x:v>P0</x:v>
      </x:c>
    </x:row>
    <x:row r="9" ht="43" customHeight="1">
      <x:c r="A9" s="28" t="str">
        <x:v>PZ04</x:v>
      </x:c>
      <x:c r="B9" s="28" t="str">
        <x:v>القمر</x:v>
      </x:c>
      <x:c r="C9" s="28" t="str">
        <x:v>Route Choice</x:v>
      </x:c>
      <x:c r="D9" s="28" t="str">
        <x:v>اختر بين 3 طرائق</x:v>
      </x:c>
      <x:c r="E9" s="28" t="str">
        <x:v>وازن المسافة والصعوبة وجمع الأدلة</x:v>
      </x:c>
      <x:c r="F9" s="28" t="str">
        <x:v>خريطة مفاضلة واضحة</x:v>
      </x:c>
      <x:c r="G9" s="28" t="str">
        <x:v>إعادة اختيار قبل الحركة</x:v>
      </x:c>
      <x:c r="H9" s="28" t="str">
        <x:v>مفاضلة متغيرات الاستكشاف</x:v>
      </x:c>
      <x:c r="I9" s="28" t="str">
        <x:v>قرار</x:v>
      </x:c>
      <x:c r="J9" s="28" t="str">
        <x:v>موجود حاليًا</x:v>
      </x:c>
      <x:c r="K9" s="28" t="str">
        <x:v>P0</x:v>
      </x:c>
    </x:row>
    <x:row r="10" ht="43" customHeight="1">
      <x:c r="A10" s="28" t="str">
        <x:v>PZ05</x:v>
      </x:c>
      <x:c r="B10" s="28" t="str">
        <x:v>القمر</x:v>
      </x:c>
      <x:c r="C10" s="28" t="str">
        <x:v>Rover Control</x:v>
      </x:c>
      <x:c r="D10" s="28" t="str">
        <x:v>تجاوز تضاريس محاكاة</x:v>
      </x:c>
      <x:c r="E10" s="28" t="str">
        <x:v>تحكم بتسارع وتوجيه وتراجع</x:v>
      </x:c>
      <x:c r="F10" s="28" t="str">
        <x:v>احتكاك نسبي وغبار ومؤشرات</x:v>
      </x:c>
      <x:c r="G10" s="28" t="str">
        <x:v>R recovery بخصم XP</x:v>
      </x:c>
      <x:c r="H10" s="28" t="str">
        <x:v>دور المركبة في توسيع النطاق</x:v>
      </x:c>
      <x:c r="I10" s="28" t="str">
        <x:v>تحكم</x:v>
      </x:c>
      <x:c r="J10" s="28" t="str">
        <x:v>موجود حاليًا</x:v>
      </x:c>
      <x:c r="K10" s="28" t="str">
        <x:v>P0</x:v>
      </x:c>
    </x:row>
    <x:row r="11" ht="43" customHeight="1">
      <x:c r="A11" s="28" t="str">
        <x:v>PZ06</x:v>
      </x:c>
      <x:c r="B11" s="28" t="str">
        <x:v>القمر</x:v>
      </x:c>
      <x:c r="C11" s="28" t="str">
        <x:v>Research Cache</x:v>
      </x:c>
      <x:c r="D11" s="28" t="str">
        <x:v>اجمع 3 حزم</x:v>
      </x:c>
      <x:c r="E11" s="28" t="str">
        <x:v>خرج عن خط القيادة عند الحاجة</x:v>
      </x:c>
      <x:c r="F11" s="28" t="str">
        <x:v>تزداد خانات الأدلة في HUD</x:v>
      </x:c>
      <x:c r="G11" s="28" t="str">
        <x:v>المنارة لا تفتح دون الجميع</x:v>
      </x:c>
      <x:c r="H11" s="28" t="str">
        <x:v>ربط الرحلة بجمع الأدلة</x:v>
      </x:c>
      <x:c r="I11" s="28" t="str">
        <x:v>استكشاف</x:v>
      </x:c>
      <x:c r="J11" s="28" t="str">
        <x:v>موجود حاليًا</x:v>
      </x:c>
      <x:c r="K11" s="28" t="str">
        <x:v>P0</x:v>
      </x:c>
    </x:row>
    <x:row r="12" ht="43" customHeight="1">
      <x:c r="A12" s="28" t="str">
        <x:v>PZ07</x:v>
      </x:c>
      <x:c r="B12" s="28" t="str">
        <x:v>القمر</x:v>
      </x:c>
      <x:c r="C12" s="28" t="str">
        <x:v>Specimen Sort</x:v>
      </x:c>
      <x:c r="D12" s="28" t="str">
        <x:v>صنف 3 حزم</x:v>
      </x:c>
      <x:c r="E12" s="28" t="str">
        <x:v>اربط الملاحظة بفئتها العلمية</x:v>
      </x:c>
      <x:c r="F12" s="28" t="str">
        <x:v>توضيح النتيجة والسبب</x:v>
      </x:c>
      <x:c r="G12" s="28" t="str">
        <x:v>إعادة تجربة التصنيف</x:v>
      </x:c>
      <x:c r="H12" s="28" t="str">
        <x:v>تصنيف المعرفة العلمية</x:v>
      </x:c>
      <x:c r="I12" s="28" t="str">
        <x:v>فهم</x:v>
      </x:c>
      <x:c r="J12" s="28" t="str">
        <x:v>موجود حاليًا</x:v>
      </x:c>
      <x:c r="K12" s="28" t="str">
        <x:v>P0</x:v>
      </x:c>
    </x:row>
    <x:row r="13" ht="43" customHeight="1">
      <x:c r="A13" s="28" t="str">
        <x:v>PZ08</x:v>
      </x:c>
      <x:c r="B13" s="28" t="str">
        <x:v>القمر</x:v>
      </x:c>
      <x:c r="C13" s="28" t="str">
        <x:v>Mobility Lab</x:v>
      </x:c>
      <x:c r="D13" s="28" t="str">
        <x:v>قارن زمن مشي/روفر</x:v>
      </x:c>
      <x:c r="E13" s="28" t="str">
        <x:v>غيّر المسافة والسرعة والوقت</x:v>
      </x:c>
      <x:c r="F13" s="28" t="str">
        <x:v>حاسبة تعرض وقت النقل والفرص</x:v>
      </x:c>
      <x:c r="G13" s="28" t="str">
        <x:v>قيم افتراضية وحدود واضحة</x:v>
      </x:c>
      <x:c r="H13" s="28" t="str">
        <x:v>المسافة/السرعة/الوقت</x:v>
      </x:c>
      <x:c r="I13" s="28" t="str">
        <x:v>نموذج</x:v>
      </x:c>
      <x:c r="J13" s="28" t="str">
        <x:v>موجود حاليًا</x:v>
      </x:c>
      <x:c r="K13" s="28" t="str">
        <x:v>P0</x:v>
      </x:c>
    </x:row>
    <x:row r="14" ht="43" customHeight="1">
      <x:c r="A14" s="28" t="str">
        <x:v>PZ09</x:v>
      </x:c>
      <x:c r="B14" s="28" t="str">
        <x:v>القمر</x:v>
      </x:c>
      <x:c r="C14" s="28" t="str">
        <x:v>Evidence Conclusion</x:v>
      </x:c>
      <x:c r="D14" s="28" t="str">
        <x:v>اختر استنتاجًا مدعومًا</x:v>
      </x:c>
      <x:c r="E14" s="28" t="str">
        <x:v>افحص الأدلة والنموذج ثم قرر</x:v>
      </x:c>
      <x:c r="F14" s="28" t="str">
        <x:v>يفتح معرض المركبة</x:v>
      </x:c>
      <x:c r="G14" s="28" t="str">
        <x:v>خطأ يوجه لسبب علمي</x:v>
      </x:c>
      <x:c r="H14" s="28" t="str">
        <x:v>استنتاج من دليل لا حفظ</x:v>
      </x:c>
      <x:c r="I14" s="28" t="str">
        <x:v>استدلال</x:v>
      </x:c>
      <x:c r="J14" s="28" t="str">
        <x:v>موجود حاليًا</x:v>
      </x:c>
      <x:c r="K14" s="28" t="str">
        <x:v>P0</x:v>
      </x:c>
    </x:row>
    <x:row r="15" ht="43" customHeight="1">
      <x:c r="A15" s="28" t="str">
        <x:v>PZ10</x:v>
      </x:c>
      <x:c r="B15" s="28" t="str">
        <x:v>المريخ</x:v>
      </x:c>
      <x:c r="C15" s="28" t="str">
        <x:v>Solar Budget Sol 1</x:v>
      </x:c>
      <x:c r="D15" s="28" t="str">
        <x:v>خصص ميزانية اليوم الأول</x:v>
      </x:c>
      <x:c r="E15" s="28" t="str">
        <x:v>شغّل أو عطّل الأجهزة</x:v>
      </x:c>
      <x:c r="F15" s="28" t="str">
        <x:v>يتحدث مخزون الطاقة</x:v>
      </x:c>
      <x:c r="G15" s="28" t="str">
        <x:v>لا انقطاع صامت</x:v>
      </x:c>
      <x:c r="H15" s="28" t="str">
        <x:v>ميزانية الطاقة</x:v>
      </x:c>
      <x:c r="I15" s="28" t="str">
        <x:v>قرار</x:v>
      </x:c>
      <x:c r="J15" s="28" t="str">
        <x:v>موجود حاليًا</x:v>
      </x:c>
      <x:c r="K15" s="28" t="str">
        <x:v>P0</x:v>
      </x:c>
    </x:row>
    <x:row r="16" ht="43" customHeight="1">
      <x:c r="A16" s="28" t="str">
        <x:v>PZ11</x:v>
      </x:c>
      <x:c r="B16" s="28" t="str">
        <x:v>المريخ</x:v>
      </x:c>
      <x:c r="C16" s="28" t="str">
        <x:v>Solar Budget Sol 2</x:v>
      </x:c>
      <x:c r="D16" s="28" t="str">
        <x:v>فاضل بين حركة وفحص</x:v>
      </x:c>
      <x:c r="E16" s="28" t="str">
        <x:v>وازن تكلفة الاختيار مع الهدف</x:v>
      </x:c>
      <x:c r="F16" s="28" t="str">
        <x:v>تظهر آثار التخصيص</x:v>
      </x:c>
      <x:c r="G16" s="28" t="str">
        <x:v>يمكن إعادة المحاولة</x:v>
      </x:c>
      <x:c r="H16" s="28" t="str">
        <x:v>مدخلات/مخرجات طاقة</x:v>
      </x:c>
      <x:c r="I16" s="28" t="str">
        <x:v>قرار</x:v>
      </x:c>
      <x:c r="J16" s="28" t="str">
        <x:v>موجود حاليًا</x:v>
      </x:c>
      <x:c r="K16" s="28" t="str">
        <x:v>P0</x:v>
      </x:c>
    </x:row>
    <x:row r="17" ht="43" customHeight="1">
      <x:c r="A17" s="28" t="str">
        <x:v>PZ12</x:v>
      </x:c>
      <x:c r="B17" s="28" t="str">
        <x:v>المريخ</x:v>
      </x:c>
      <x:c r="C17" s="28" t="str">
        <x:v>Dust Impact Sol 3</x:v>
      </x:c>
      <x:c r="D17" s="28" t="str">
        <x:v>تعامل مع انخفاض التوليد</x:v>
      </x:c>
      <x:c r="E17" s="28" t="str">
        <x:v>التخطيط مع عامل الغبار</x:v>
      </x:c>
      <x:c r="F17" s="28" t="str">
        <x:v>مؤشر شمسي يتغير</x:v>
      </x:c>
      <x:c r="G17" s="28" t="str">
        <x:v>بداية اليوم مع طاقة محدودة</x:v>
      </x:c>
      <x:c r="H17" s="28" t="str">
        <x:v>أثر الغبار على الضوء</x:v>
      </x:c>
      <x:c r="I17" s="28" t="str">
        <x:v>نموذج</x:v>
      </x:c>
      <x:c r="J17" s="28" t="str">
        <x:v>موجود حاليًا</x:v>
      </x:c>
      <x:c r="K17" s="28" t="str">
        <x:v>P0</x:v>
      </x:c>
    </x:row>
    <x:row r="18" ht="43" customHeight="1">
      <x:c r="A18" s="28" t="str">
        <x:v>PZ13</x:v>
      </x:c>
      <x:c r="B18" s="28" t="str">
        <x:v>المريخ</x:v>
      </x:c>
      <x:c r="C18" s="28" t="str">
        <x:v>Communication Sol 4</x:v>
      </x:c>
      <x:c r="D18" s="28" t="str">
        <x:v>احفظ كفاية للاتصال</x:v>
      </x:c>
      <x:c r="E18" s="28" t="str">
        <x:v>لا تستهلك الطاقة كلها</x:v>
      </x:c>
      <x:c r="F18" s="28" t="str">
        <x:v>مكافأة للحفاظ على الاحتياطي</x:v>
      </x:c>
      <x:c r="G18" s="28" t="str">
        <x:v>فشل قابل للإعادة</x:v>
      </x:c>
      <x:c r="H18" s="28" t="str">
        <x:v>المهام الطاقية</x:v>
      </x:c>
      <x:c r="I18" s="28" t="str">
        <x:v>قرار</x:v>
      </x:c>
      <x:c r="J18" s="28" t="str">
        <x:v>موجود حاليًا</x:v>
      </x:c>
      <x:c r="K18" s="28" t="str">
        <x:v>P0</x:v>
      </x:c>
    </x:row>
    <x:row r="19" ht="43" customHeight="1">
      <x:c r="A19" s="28" t="str">
        <x:v>PZ14</x:v>
      </x:c>
      <x:c r="B19" s="28" t="str">
        <x:v>المريخ</x:v>
      </x:c>
      <x:c r="C19" s="28" t="str">
        <x:v>Signal Cipher</x:v>
      </x:c>
      <x:c r="D19" s="28" t="str">
        <x:v>حل شفرة 3 خانات</x:v>
      </x:c>
      <x:c r="E19" s="28" t="str">
        <x:v>استخرج أرقامًا من نتائج الأيام</x:v>
      </x:c>
      <x:c r="F19" s="28" t="str">
        <x:v>يعرض تفسير الشفرة عند الانتهاء</x:v>
      </x:c>
      <x:c r="G19" s="28" t="str">
        <x:v>خطأ يسمح بتجربة ثانية</x:v>
      </x:c>
      <x:c r="H19" s="28" t="str">
        <x:v>تجميع معلومات عبر وقت</x:v>
      </x:c>
      <x:c r="I19" s="28" t="str">
        <x:v>استدلال</x:v>
      </x:c>
      <x:c r="J19" s="28" t="str">
        <x:v>موجود حاليًا</x:v>
      </x:c>
      <x:c r="K19" s="28" t="str">
        <x:v>P0</x:v>
      </x:c>
    </x:row>
    <x:row r="20" ht="43" customHeight="1">
      <x:c r="A20" s="28" t="str">
        <x:v>PZ15</x:v>
      </x:c>
      <x:c r="B20" s="28" t="str">
        <x:v>عام</x:v>
      </x:c>
      <x:c r="C20" s="28" t="str">
        <x:v>Archive Graph</x:v>
      </x:c>
      <x:c r="D20" s="28" t="str">
        <x:v>أكمل خريطة أثر جهاز</x:v>
      </x:c>
      <x:c r="E20" s="28" t="str">
        <x:v>اسحب دليل→آلة→اكتشاف</x:v>
      </x:c>
      <x:c r="F20" s="28" t="str">
        <x:v>شبكة خطوط تضيء فعليًا</x:v>
      </x:c>
      <x:c r="G20" s="28" t="str">
        <x:v>عدم المطابقة يبقي الاتصال معطلا</x:v>
      </x:c>
      <x:c r="H20" s="28" t="str">
        <x:v>السلسلة السببية</x:v>
      </x:c>
      <x:c r="I20" s="28" t="str">
        <x:v>استدلال</x:v>
      </x:c>
      <x:c r="J20" s="28" t="str">
        <x:v>مخطط</x:v>
      </x:c>
      <x:c r="K20" s="28" t="str">
        <x:v>P1</x:v>
      </x:c>
    </x:row>
    <x:row r="21" ht="43" customHeight="1">
      <x:c r="A21" s="28" t="str">
        <x:v>PZ16</x:v>
      </x:c>
      <x:c r="B21" s="28" t="str">
        <x:v>عام</x:v>
      </x:c>
      <x:c r="C21" s="28" t="str">
        <x:v>Three Clue Mystery</x:v>
      </x:c>
      <x:c r="D21" s="28" t="str">
        <x:v>كشف هدف غامض</x:v>
      </x:c>
      <x:c r="E21" s="28" t="str">
        <x:v>استكشف ثلاث إشارات مستقلة</x:v>
      </x:c>
      <x:c r="F21" s="28" t="str">
        <x:v>تتضح خريطة المنطقة</x:v>
      </x:c>
      <x:c r="G21" s="28" t="str">
        <x:v>تلميحات متدرجة</x:v>
      </x:c>
      <x:c r="H21" s="28" t="str">
        <x:v>الملاحظة العلمية</x:v>
      </x:c>
      <x:c r="I21" s="28" t="str">
        <x:v>تحقيق</x:v>
      </x:c>
      <x:c r="J21" s="28" t="str">
        <x:v>مخطط</x:v>
      </x:c>
      <x:c r="K21" s="28" t="str">
        <x:v>P1</x:v>
      </x:c>
    </x:row>
    <x:row r="22" ht="43" customHeight="1">
      <x:c r="A22" s="28" t="str">
        <x:v>PZ17</x:v>
      </x:c>
      <x:c r="B22" s="28" t="str">
        <x:v>القمر</x:v>
      </x:c>
      <x:c r="C22" s="28" t="str">
        <x:v>Wheel Engineering</x:v>
      </x:c>
      <x:c r="D22" s="28" t="str">
        <x:v>ركب عجلة من أجزاء</x:v>
      </x:c>
      <x:c r="E22" s="28" t="str">
        <x:v>طابق وظيفة الشبكة المرنة</x:v>
      </x:c>
      <x:c r="F22" s="28" t="str">
        <x:v>تغير محاكاة الحركة</x:v>
      </x:c>
      <x:c r="G22" s="28" t="str">
        <x:v>الجزء الخاطئ يظهر عيب تحكم</x:v>
      </x:c>
      <x:c r="H22" s="28" t="str">
        <x:v>هندسة العجلات</x:v>
      </x:c>
      <x:c r="I22" s="28" t="str">
        <x:v>تركيب</x:v>
      </x:c>
      <x:c r="J22" s="28" t="str">
        <x:v>مخطط</x:v>
      </x:c>
      <x:c r="K22" s="28" t="str">
        <x:v>P2</x:v>
      </x:c>
    </x:row>
    <x:row r="23" ht="43" customHeight="1">
      <x:c r="A23" s="28" t="str">
        <x:v>PZ18</x:v>
      </x:c>
      <x:c r="B23" s="28" t="str">
        <x:v>القمر</x:v>
      </x:c>
      <x:c r="C23" s="28" t="str">
        <x:v>Landing Region</x:v>
      </x:c>
      <x:c r="D23" s="28" t="str">
        <x:v>فسر صورة تضاريس</x:v>
      </x:c>
      <x:c r="E23" s="28" t="str">
        <x:v>اختر موضعًا افتراضيًا للملاحظة</x:v>
      </x:c>
      <x:c r="F23" s="28" t="str">
        <x:v>تضيء التضاريس المعنية</x:v>
      </x:c>
      <x:c r="G23" s="28" t="str">
        <x:v>إرشاد طبوغرافي</x:v>
      </x:c>
      <x:c r="H23" s="28" t="str">
        <x:v>الجيولوجيا</x:v>
      </x:c>
      <x:c r="I23" s="28" t="str">
        <x:v>خرائط</x:v>
      </x:c>
      <x:c r="J23" s="28" t="str">
        <x:v>مخطط</x:v>
      </x:c>
      <x:c r="K23" s="28" t="str">
        <x:v>P2</x:v>
      </x:c>
    </x:row>
    <x:row r="24" ht="43" customHeight="1">
      <x:c r="A24" s="28" t="str">
        <x:v>PZ19</x:v>
      </x:c>
      <x:c r="B24" s="28" t="str">
        <x:v>القمر</x:v>
      </x:c>
      <x:c r="C24" s="28" t="str">
        <x:v>Sample Story</x:v>
      </x:c>
      <x:c r="D24" s="28" t="str">
        <x:v>أعد ربط العينات بمواقع</x:v>
      </x:c>
      <x:c r="E24" s="28" t="str">
        <x:v>طابق موقعًا بوصف جيولوجي موثق</x:v>
      </x:c>
      <x:c r="F24" s="28" t="str">
        <x:v>معرض علمي</x:v>
      </x:c>
      <x:c r="G24" s="28" t="str">
        <x:v>لا بيانات GPS مختلقة</x:v>
      </x:c>
      <x:c r="H24" s="28" t="str">
        <x:v>توثيق العينات</x:v>
      </x:c>
      <x:c r="I24" s="28" t="str">
        <x:v>أدلة</x:v>
      </x:c>
      <x:c r="J24" s="28" t="str">
        <x:v>مخطط</x:v>
      </x:c>
      <x:c r="K24" s="28" t="str">
        <x:v>P2</x:v>
      </x:c>
    </x:row>
    <x:row r="25" ht="43" customHeight="1">
      <x:c r="A25" s="28" t="str">
        <x:v>PZ20</x:v>
      </x:c>
      <x:c r="B25" s="28" t="str">
        <x:v>القمر</x:v>
      </x:c>
      <x:c r="C25" s="28" t="str">
        <x:v>EVA Clock</x:v>
      </x:c>
      <x:c r="D25" s="28" t="str">
        <x:v>إدارة ساعات العمل</x:v>
      </x:c>
      <x:c r="E25" s="28" t="str">
        <x:v>وزّع وقت رحلة افتراضية</x:v>
      </x:c>
      <x:c r="F25" s="28" t="str">
        <x:v>مخطط مقارنة واضح</x:v>
      </x:c>
      <x:c r="G25" s="28" t="str">
        <x:v>عواقب تجاوز الوقت</x:v>
      </x:c>
      <x:c r="H25" s="28" t="str">
        <x:v>قيود زمن المهمات</x:v>
      </x:c>
      <x:c r="I25" s="28" t="str">
        <x:v>استراتيجية</x:v>
      </x:c>
      <x:c r="J25" s="28" t="str">
        <x:v>مخطط</x:v>
      </x:c>
      <x:c r="K25" s="28" t="str">
        <x:v>P2</x:v>
      </x:c>
    </x:row>
    <x:row r="26" ht="43" customHeight="1">
      <x:c r="A26" s="28" t="str">
        <x:v>PZ21</x:v>
      </x:c>
      <x:c r="B26" s="28" t="str">
        <x:v>القمر</x:v>
      </x:c>
      <x:c r="C26" s="28" t="str">
        <x:v>Discover Hidden Site</x:v>
      </x:c>
      <x:c r="D26" s="28" t="str">
        <x:v>استخدم تلميحًا بصريًا</x:v>
      </x:c>
      <x:c r="E26" s="28" t="str">
        <x:v>حل لغز تضاريس للوصول لمعلم</x:v>
      </x:c>
      <x:c r="F26" s="28" t="str">
        <x:v>قصة صغيرة إضافية</x:v>
      </x:c>
      <x:c r="G26" s="28" t="str">
        <x:v>عدم تعطل المهمة الأساسية</x:v>
      </x:c>
      <x:c r="H26" s="28" t="str">
        <x:v>الفضول والاستدلال</x:v>
      </x:c>
      <x:c r="I26" s="28" t="str">
        <x:v>أسرار</x:v>
      </x:c>
      <x:c r="J26" s="28" t="str">
        <x:v>مخطط</x:v>
      </x:c>
      <x:c r="K26" s="28" t="str">
        <x:v>P1</x:v>
      </x:c>
    </x:row>
    <x:row r="27" ht="43" customHeight="1">
      <x:c r="A27" s="28" t="str">
        <x:v>PZ22</x:v>
      </x:c>
      <x:c r="B27" s="28" t="str">
        <x:v>المريخ</x:v>
      </x:c>
      <x:c r="C27" s="28" t="str">
        <x:v>Dust Transmission</x:v>
      </x:c>
      <x:c r="D27" s="28" t="str">
        <x:v>وازن الطاقة والإرسال</x:v>
      </x:c>
      <x:c r="E27" s="28" t="str">
        <x:v>قرر توقيت إرسال بيانات افتراضي</x:v>
      </x:c>
      <x:c r="F27" s="28" t="str">
        <x:v>تغير حجم البيانات المتوقع</x:v>
      </x:c>
      <x:c r="G27" s="28" t="str">
        <x:v>تحذير من ادعاء تاريخ كاذب</x:v>
      </x:c>
      <x:c r="H27" s="28" t="str">
        <x:v>التواصل المحدود بالطاقة</x:v>
      </x:c>
      <x:c r="I27" s="28" t="str">
        <x:v>قرار</x:v>
      </x:c>
      <x:c r="J27" s="28" t="str">
        <x:v>مخطط</x:v>
      </x:c>
      <x:c r="K27" s="28" t="str">
        <x:v>P1</x:v>
      </x:c>
    </x:row>
    <x:row r="28" ht="43" customHeight="1">
      <x:c r="A28" s="28" t="str">
        <x:v>PZ23</x:v>
      </x:c>
      <x:c r="B28" s="28" t="str">
        <x:v>المريخ</x:v>
      </x:c>
      <x:c r="C28" s="28" t="str">
        <x:v>Solar Tilt</x:v>
      </x:c>
      <x:c r="D28" s="28" t="str">
        <x:v>غيّر زاوية اللوح في نموذج مجرد</x:v>
      </x:c>
      <x:c r="E28" s="28" t="str">
        <x:v>افحص تأثير زاوية الإضاءة</x:v>
      </x:c>
      <x:c r="F28" s="28" t="str">
        <x:v>مخطط توليد افتراضي</x:v>
      </x:c>
      <x:c r="G28" s="28" t="str">
        <x:v>لا إيهام بأن Opportunity تنفذ هذا التحكم</x:v>
      </x:c>
      <x:c r="H28" s="28" t="str">
        <x:v>زاوية سقوط الضوء</x:v>
      </x:c>
      <x:c r="I28" s="28" t="str">
        <x:v>نموذج</x:v>
      </x:c>
      <x:c r="J28" s="28" t="str">
        <x:v>مخطط</x:v>
      </x:c>
      <x:c r="K28" s="28" t="str">
        <x:v>P2</x:v>
      </x:c>
    </x:row>
    <x:row r="29" ht="43" customHeight="1">
      <x:c r="A29" s="28" t="str">
        <x:v>PZ24</x:v>
      </x:c>
      <x:c r="B29" s="28" t="str">
        <x:v>المريخ</x:v>
      </x:c>
      <x:c r="C29" s="28" t="str">
        <x:v>Resource Consequence</x:v>
      </x:c>
      <x:c r="D29" s="28" t="str">
        <x:v>اربط قرار اليوم بنتيجة لاحقة</x:v>
      </x:c>
      <x:c r="E29" s="28" t="str">
        <x:v>اختر بين علم واتصال وطاقة</x:v>
      </x:c>
      <x:c r="F29" s="28" t="str">
        <x:v>مسارات مختلفة لا جواب وحيد</x:v>
      </x:c>
      <x:c r="G29" s="28" t="str">
        <x:v>حل قابل لإعادة اللعب</x:v>
      </x:c>
      <x:c r="H29" s="28" t="str">
        <x:v>تكلفة الفرصة البديلة</x:v>
      </x:c>
      <x:c r="I29" s="28" t="str">
        <x:v>قرار</x:v>
      </x:c>
      <x:c r="J29" s="28" t="str">
        <x:v>مخطط</x:v>
      </x:c>
      <x:c r="K29" s="28" t="str">
        <x:v>P1</x:v>
      </x:c>
    </x:row>
    <x:row r="30" ht="43" customHeight="1">
      <x:c r="A30" s="28" t="str">
        <x:v>PZ25</x:v>
      </x:c>
      <x:c r="B30" s="28" t="str">
        <x:v>InSight</x:v>
      </x:c>
      <x:c r="C30" s="28" t="str">
        <x:v>Seismic Signal</x:v>
      </x:c>
      <x:c r="D30" s="28" t="str">
        <x:v>تمييز إشارة من ضوضاء</x:v>
      </x:c>
      <x:c r="E30" s="28" t="str">
        <x:v>استخدم مرشحًا على بيانات حقيقية/اصطناعية موضحة</x:v>
      </x:c>
      <x:c r="F30" s="28" t="str">
        <x:v>شكل موجي حي</x:v>
      </x:c>
      <x:c r="G30" s="28" t="str">
        <x:v>تسميات بيانات واضحة</x:v>
      </x:c>
      <x:c r="H30" s="28" t="str">
        <x:v>تحليل الإشارة</x:v>
      </x:c>
      <x:c r="I30" s="28" t="str">
        <x:v>نموذج</x:v>
      </x:c>
      <x:c r="J30" s="28" t="str">
        <x:v>مؤجل</x:v>
      </x:c>
      <x:c r="K30" s="28" t="str">
        <x:v>P2</x:v>
      </x:c>
    </x:row>
    <x:row r="31" ht="43" customHeight="1">
      <x:c r="A31" s="28" t="str">
        <x:v>PZ26</x:v>
      </x:c>
      <x:c r="B31" s="28" t="str">
        <x:v>InSight</x:v>
      </x:c>
      <x:c r="C31" s="28" t="str">
        <x:v>Time Arrival</x:v>
      </x:c>
      <x:c r="D31" s="28" t="str">
        <x:v>قارن توقيت موجات مبسطة</x:v>
      </x:c>
      <x:c r="E31" s="28" t="str">
        <x:v>حدّد نمط وصول</x:v>
      </x:c>
      <x:c r="F31" s="28" t="str">
        <x:v>ملخص موجة</x:v>
      </x:c>
      <x:c r="G31" s="28" t="str">
        <x:v>تجنب حسابات غير موثقة</x:v>
      </x:c>
      <x:c r="H31" s="28" t="str">
        <x:v>طبقات باطن المريخ</x:v>
      </x:c>
      <x:c r="I31" s="28" t="str">
        <x:v>قياس</x:v>
      </x:c>
      <x:c r="J31" s="28" t="str">
        <x:v>مؤجل</x:v>
      </x:c>
      <x:c r="K31" s="28" t="str">
        <x:v>P2</x:v>
      </x:c>
    </x:row>
    <x:row r="32" ht="43" customHeight="1">
      <x:c r="A32" s="28" t="str">
        <x:v>PZ27</x:v>
      </x:c>
      <x:c r="B32" s="28" t="str">
        <x:v>Spirit</x:v>
      </x:c>
      <x:c r="C32" s="28" t="str">
        <x:v>Traction Escape</x:v>
      </x:c>
      <x:c r="D32" s="28" t="str">
        <x:v>قيّم احتكاكًا افتراضيًا</x:v>
      </x:c>
      <x:c r="E32" s="28" t="str">
        <x:v>عدّل طريق العجلات على تضاريس</x:v>
      </x:c>
      <x:c r="F32" s="28" t="str">
        <x:v>تعطل/تحسن مع تفسير</x:v>
      </x:c>
      <x:c r="G32" s="28" t="str">
        <x:v>عدم إعادة تمثيل حادثة تاريخية دون مصدر</x:v>
      </x:c>
      <x:c r="H32" s="28" t="str">
        <x:v>الجر والتضاريس</x:v>
      </x:c>
      <x:c r="I32" s="28" t="str">
        <x:v>محاكاة</x:v>
      </x:c>
      <x:c r="J32" s="28" t="str">
        <x:v>مؤجل</x:v>
      </x:c>
      <x:c r="K32" s="28" t="str">
        <x:v>P2</x:v>
      </x:c>
    </x:row>
    <x:row r="33" ht="43" customHeight="1">
      <x:c r="A33" s="28" t="str">
        <x:v>PZ28</x:v>
      </x:c>
      <x:c r="B33" s="28" t="str">
        <x:v>Phoenix</x:v>
      </x:c>
      <x:c r="C33" s="28" t="str">
        <x:v>Ice Clue</x:v>
      </x:c>
      <x:c r="D33" s="28" t="str">
        <x:v>حلل قراءات حفرة افتراضية</x:v>
      </x:c>
      <x:c r="E33" s="28" t="str">
        <x:v>ميّز بين مشاهدات وأدلة</x:v>
      </x:c>
      <x:c r="F33" s="28" t="str">
        <x:v>استنتاج عن بيئة التربة</x:v>
      </x:c>
      <x:c r="G33" s="28" t="str">
        <x:v>لا تقدم عينات مصطنعة كأصلية</x:v>
      </x:c>
      <x:c r="H33" s="28" t="str">
        <x:v>المياه والجليد</x:v>
      </x:c>
      <x:c r="I33" s="28" t="str">
        <x:v>تحقيق</x:v>
      </x:c>
      <x:c r="J33" s="28" t="str">
        <x:v>مؤجل</x:v>
      </x:c>
      <x:c r="K33" s="28" t="str">
        <x:v>P2</x:v>
      </x:c>
    </x:row>
    <x:row r="34" ht="43" customHeight="1">
      <x:c r="A34" s="28" t="str">
        <x:v>PZ29</x:v>
      </x:c>
      <x:c r="B34" s="28" t="str">
        <x:v>Apollo 17</x:v>
      </x:c>
      <x:c r="C34" s="28" t="str">
        <x:v>Geology Relay</x:v>
      </x:c>
      <x:c r="D34" s="28" t="str">
        <x:v>قارن رحلة طويلة</x:v>
      </x:c>
      <x:c r="E34" s="28" t="str">
        <x:v>قس أثر توسيع المسار</x:v>
      </x:c>
      <x:c r="F34" s="28" t="str">
        <x:v>متحف مقارن</x:v>
      </x:c>
      <x:c r="G34" s="28" t="str">
        <x:v>توثيق المسافات</x:v>
      </x:c>
      <x:c r="H34" s="28" t="str">
        <x:v>المقارنة</x:v>
      </x:c>
      <x:c r="I34" s="28" t="str">
        <x:v>نموذج</x:v>
      </x:c>
      <x:c r="J34" s="28" t="str">
        <x:v>مؤجل</x:v>
      </x:c>
      <x:c r="K34" s="28" t="str">
        <x:v>P2</x:v>
      </x:c>
    </x:row>
    <x:row r="35" ht="43" customHeight="1">
      <x:c r="A35" s="28" t="str">
        <x:v>PZ30</x:v>
      </x:c>
      <x:c r="B35" s="28" t="str">
        <x:v>عام</x:v>
      </x:c>
      <x:c r="C35" s="28" t="str">
        <x:v>Science Crosslink</x:v>
      </x:c>
      <x:c r="D35" s="28" t="str">
        <x:v>أكمل شبكة من مهمتين</x:v>
      </x:c>
      <x:c r="E35" s="28" t="str">
        <x:v>اربط mobility والطاقة بإمكان البحث</x:v>
      </x:c>
      <x:c r="F35" s="28" t="str">
        <x:v>معرض جديد</x:v>
      </x:c>
      <x:c r="G35" s="28" t="str">
        <x:v>الاستنتاج يتطلب دليلين</x:v>
      </x:c>
      <x:c r="H35" s="28" t="str">
        <x:v>ترابط التكنولوجيا والمعرفة</x:v>
      </x:c>
      <x:c r="I35" s="28" t="str">
        <x:v>ترابط</x:v>
      </x:c>
      <x:c r="J35" s="28" t="str">
        <x:v>مخطط</x:v>
      </x:c>
      <x:c r="K35" s="28" t="str">
        <x:v>P1</x:v>
      </x:c>
    </x:row>
    <x:row r="36" ht="43" customHeight="1">
      <x:c r="A36" s="28" t="str">
        <x:v>PZ31</x:v>
      </x:c>
      <x:c r="B36" s="28" t="str">
        <x:v>عام</x:v>
      </x:c>
      <x:c r="C36" s="28" t="str">
        <x:v>Hint Escalation</x:v>
      </x:c>
      <x:c r="D36" s="28" t="str">
        <x:v>تلميح بناءً على التعثر</x:v>
      </x:c>
      <x:c r="E36" s="28" t="str">
        <x:v>طلب تلميح اختياري 1→2→3</x:v>
      </x:c>
      <x:c r="F36" s="28" t="str">
        <x:v>التلميح لا يسلب الحل</x:v>
      </x:c>
      <x:c r="G36" s="28" t="str">
        <x:v>احترام اللاعب</x:v>
      </x:c>
      <x:c r="H36" s="28" t="str">
        <x:v>التوجيه التفاضلي</x:v>
      </x:c>
      <x:c r="I36" s="28" t="str">
        <x:v>UX</x:v>
      </x:c>
      <x:c r="J36" s="28" t="str">
        <x:v>مخطط</x:v>
      </x:c>
      <x:c r="K36" s="28" t="str">
        <x:v>P1</x:v>
      </x:c>
    </x:row>
    <x:row r="37" ht="43" customHeight="1">
      <x:c r="A37" s="28" t="str">
        <x:v>PZ32</x:v>
      </x:c>
      <x:c r="B37" s="28" t="str">
        <x:v>عام</x:v>
      </x:c>
      <x:c r="C37" s="28" t="str">
        <x:v>No Text Test</x:v>
      </x:c>
      <x:c r="D37" s="28" t="str">
        <x:v>تعرف المهمة من إشارات مرئية</x:v>
      </x:c>
      <x:c r="E37" s="28" t="str">
        <x:v>جرّب جزءًا دون تعليمات طويلة</x:v>
      </x:c>
      <x:c r="F37" s="28" t="str">
        <x:v>نتيجة مباشرة</x:v>
      </x:c>
      <x:c r="G37" s="28" t="str">
        <x:v>تحسين قابلية الفهم</x:v>
      </x:c>
      <x:c r="H37" s="28" t="str">
        <x:v>تعلّم بالعمل</x:v>
      </x:c>
      <x:c r="I37" s="28" t="str">
        <x:v>UX</x:v>
      </x:c>
      <x:c r="J37" s="28" t="str">
        <x:v>مخطط</x:v>
      </x:c>
      <x:c r="K37" s="28" t="str">
        <x:v>P1</x:v>
      </x:c>
    </x:row>
    <x:row r="38" ht="43" customHeight="1">
      <x:c r="A38" s="28" t="str">
        <x:v>PZ33</x:v>
      </x:c>
      <x:c r="B38" s="28" t="str">
        <x:v>عام</x:v>
      </x:c>
      <x:c r="C38" s="28" t="str">
        <x:v>Evidence Credibility</x:v>
      </x:c>
      <x:c r="D38" s="28" t="str">
        <x:v>صنف موثق/خيالي/محاكاة</x:v>
      </x:c>
      <x:c r="E38" s="28" t="str">
        <x:v>اربط بطاقة بتصنيفها</x:v>
      </x:c>
      <x:c r="F38" s="28" t="str">
        <x:v>ثقة علمية ومهارة نقدية</x:v>
      </x:c>
      <x:c r="G38" s="28" t="str">
        <x:v>تاريخ NASA غير قابل للتلاعب</x:v>
      </x:c>
      <x:c r="H38" s="28" t="str">
        <x:v>العلم مقابل السرد</x:v>
      </x:c>
      <x:c r="I38" s="28" t="str">
        <x:v>استدلال</x:v>
      </x:c>
      <x:c r="J38" s="28" t="str">
        <x:v>مخطط</x:v>
      </x:c>
      <x:c r="K38" s="28" t="str">
        <x:v>P1</x:v>
      </x:c>
    </x:row>
    <x:row r="39" ht="43" customHeight="1">
      <x:c r="A39" s="28" t="str">
        <x:v>PZ34</x:v>
      </x:c>
      <x:c r="B39" s="28" t="str">
        <x:v>عام</x:v>
      </x:c>
      <x:c r="C39" s="28" t="str">
        <x:v>Audio Pattern</x:v>
      </x:c>
      <x:c r="D39" s="28" t="str">
        <x:v>تعرّف تغير الإشارة</x:v>
      </x:c>
      <x:c r="E39" s="28" t="str">
        <x:v>استخدم مؤشرًا بصريًا وصوتًا قابلًا للإيقاف</x:v>
      </x:c>
      <x:c r="F39" s="28" t="str">
        <x:v>ينفتح قفل</x:v>
      </x:c>
      <x:c r="G39" s="28" t="str">
        <x:v>لا تعتمد على السمع وحده</x:v>
      </x:c>
      <x:c r="H39" s="28" t="str">
        <x:v>التمثيل متعدد الحواس</x:v>
      </x:c>
      <x:c r="I39" s="28" t="str">
        <x:v>إتاحة</x:v>
      </x:c>
      <x:c r="J39" s="28" t="str">
        <x:v>مخطط</x:v>
      </x:c>
      <x:c r="K39" s="28" t="str">
        <x:v>P2</x:v>
      </x:c>
    </x:row>
    <x:row r="40" ht="43" customHeight="1">
      <x:c r="A40" s="28" t="str">
        <x:v>PZ35</x:v>
      </x:c>
      <x:c r="B40" s="28" t="str">
        <x:v>عام</x:v>
      </x:c>
      <x:c r="C40" s="28" t="str">
        <x:v>Museum Curator</x:v>
      </x:c>
      <x:c r="D40" s="28" t="str">
        <x:v>ركب معرضًا من حقائق</x:v>
      </x:c>
      <x:c r="E40" s="28" t="str">
        <x:v>اختر أجزاء متحف اكتشفتها فقط</x:v>
      </x:c>
      <x:c r="F40" s="28" t="str">
        <x:v>متحف مخصص</x:v>
      </x:c>
      <x:c r="G40" s="28" t="str">
        <x:v>لا يسمح بمعلومات غير موثقة</x:v>
      </x:c>
      <x:c r="H40" s="28" t="str">
        <x:v>السرد العلمي</x:v>
      </x:c>
      <x:c r="I40" s="28" t="str">
        <x:v>إنجاز</x:v>
      </x:c>
      <x:c r="J40" s="28" t="str">
        <x:v>مخطط</x:v>
      </x:c>
      <x:c r="K40" s="28" t="str">
        <x:v>P1</x:v>
      </x:c>
    </x:row>
  </x:sheetData>
  <x:mergeCells>
    <x:mergeCell ref="A1:K1"/>
    <x:mergeCell ref="A2:K2"/>
    <x:mergeCell ref="A3:K3"/>
  </x:mergeCells>
  <x:conditionalFormatting sqref="J6:J40">
    <x:cfRule type="expression" dxfId="17" priority="1">
      <x:formula>J6="مكتمل"</x:formula>
    </x:cfRule>
    <x:cfRule type="expression" dxfId="18" priority="2">
      <x:formula>J6="محظور حتى التحقق"</x:formula>
    </x:cfRule>
    <x:cfRule type="expression" dxfId="19" priority="3">
      <x:formula>J6="يحتاج تحقق"</x:formula>
    </x:cfRule>
  </x:conditionalFormatting>
  <x:conditionalFormatting sqref="K6:K40">
    <x:cfRule type="expression" dxfId="20" priority="4">
      <x:formula>K6="P0"</x:formula>
    </x:cfRule>
    <x:cfRule type="expression" dxfId="21" priority="5">
      <x:formula>K6="حرج"</x:formula>
    </x:cfRule>
  </x:conditionalFormatting>
  <x:dataValidations count="1">
    <x:dataValidation type="list" sqref="J6:J40">
      <x:formula1>"موجود حاليًا,قيد التطوير,مخطط,يحتاج تحقق,مكتمل,لم يبدأ,مؤجل,محظور حتى التحقق,غير منطبق"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8e66bb8e814123"/>
  </x:tableParts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90" hidden="0" customWidth="1"/>
    <x:col min="5" max="5" width="65" hidden="0" customWidth="1"/>
    <x:col min="6" max="6" width="73" hidden="0" customWidth="1"/>
    <x:col min="7" max="7" width="13" hidden="0" customWidth="1"/>
    <x:col min="8" max="8" width="21" hidden="0" customWidth="1"/>
  </x:cols>
  <x:sheetData>
    <x:row r="1" ht="38" customHeight="1">
      <x:c r="A1" s="4" t="str">
        <x:v>العلاقات والشروط</x:v>
      </x:c>
      <x:c r="B1" s="4"/>
      <x:c r="C1" s="4"/>
      <x:c r="D1" s="4"/>
      <x:c r="E1" s="4"/>
      <x:c r="F1" s="4"/>
      <x:c r="G1" s="4"/>
      <x:c r="H1" s="4"/>
    </x:row>
    <x:row r="2" ht="29" customHeight="1">
      <x:c r="A2" s="10" t="str">
        <x:v>قائمة متى يفتح كل قفل، ولماذا، وما الذي يمنع تخطي اللعبة أو توقفها</x:v>
      </x:c>
      <x:c r="B2" s="10"/>
      <x:c r="C2" s="10"/>
      <x:c r="D2" s="10"/>
      <x:c r="E2" s="10"/>
      <x:c r="F2" s="10"/>
      <x:c r="G2" s="10"/>
      <x:c r="H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  <x:c r="H3" s="15"/>
    </x:row>
    <x:row r="5" ht="34" customHeight="1">
      <x:c r="A5" s="21" t="str">
        <x:v>ID</x:v>
      </x:c>
      <x:c r="B5" s="21" t="str">
        <x:v>من</x:v>
      </x:c>
      <x:c r="C5" s="21" t="str">
        <x:v>إلى</x:v>
      </x:c>
      <x:c r="D5" s="21" t="str">
        <x:v>الشرط</x:v>
      </x:c>
      <x:c r="E5" s="21" t="str">
        <x:v>الأثر</x:v>
      </x:c>
      <x:c r="F5" s="21" t="str">
        <x:v>ملحوظة التنفيذ</x:v>
      </x:c>
      <x:c r="G5" s="21" t="str">
        <x:v>الأولوية</x:v>
      </x:c>
      <x:c r="H5" s="21" t="str">
        <x:v>الحالة</x:v>
      </x:c>
    </x:row>
    <x:row r="6" ht="43" customHeight="1">
      <x:c r="A6" s="28" t="str">
        <x:v>DP-001</x:v>
      </x:c>
      <x:c r="B6" s="28" t="str">
        <x:v>C1-01</x:v>
      </x:c>
      <x:c r="C6" s="28" t="str">
        <x:v>C1-02</x:v>
      </x:c>
      <x:c r="D6" s="28" t="str">
        <x:v>C1-01</x:v>
      </x:c>
      <x:c r="E6" s="28" t="str">
        <x:v>3 أدلة أساسية</x:v>
      </x:c>
      <x:c r="F6" s="28" t="str">
        <x:v>حاجز حقيقي؛ لا تفتح تلقائيًا</x:v>
      </x:c>
      <x:c r="G6" s="28" t="str">
        <x:v>P0</x:v>
      </x:c>
      <x:c r="H6" s="28" t="str">
        <x:v>موجود حاليًا</x:v>
      </x:c>
    </x:row>
    <x:row r="7" ht="43" customHeight="1">
      <x:c r="A7" s="28" t="str">
        <x:v>DP-002</x:v>
      </x:c>
      <x:c r="B7" s="28" t="str">
        <x:v>C1-02</x:v>
      </x:c>
      <x:c r="C7" s="28" t="str">
        <x:v>C1-03</x:v>
      </x:c>
      <x:c r="D7" s="28" t="str">
        <x:v>C1-02 + 3 أدلة</x:v>
      </x:c>
      <x:c r="E7" s="28" t="str">
        <x:v>فتح الربط العلمي</x:v>
      </x:c>
      <x:c r="F7" s="28" t="str">
        <x:v>حاجز حقيقي؛ لا تفتح تلقائيًا</x:v>
      </x:c>
      <x:c r="G7" s="28" t="str">
        <x:v>P0</x:v>
      </x:c>
      <x:c r="H7" s="28" t="str">
        <x:v>موجود حاليًا</x:v>
      </x:c>
    </x:row>
    <x:row r="8" ht="43" customHeight="1">
      <x:c r="A8" s="28" t="str">
        <x:v>DP-003</x:v>
      </x:c>
      <x:c r="B8" s="28" t="str">
        <x:v>C1-03</x:v>
      </x:c>
      <x:c r="C8" s="28" t="str">
        <x:v>C1-04</x:v>
      </x:c>
      <x:c r="D8" s="28" t="str">
        <x:v>C1-03</x:v>
      </x:c>
      <x:c r="E8" s="28" t="str">
        <x:v>فتح اختيار الطريق</x:v>
      </x:c>
      <x:c r="F8" s="28" t="str">
        <x:v>حاجز حقيقي؛ لا تفتح تلقائيًا</x:v>
      </x:c>
      <x:c r="G8" s="28" t="str">
        <x:v>P0</x:v>
      </x:c>
      <x:c r="H8" s="28" t="str">
        <x:v>موجود حاليًا</x:v>
      </x:c>
    </x:row>
    <x:row r="9" ht="43" customHeight="1">
      <x:c r="A9" s="28" t="str">
        <x:v>DP-004</x:v>
      </x:c>
      <x:c r="B9" s="28" t="str">
        <x:v>C1-04</x:v>
      </x:c>
      <x:c r="C9" s="28" t="str">
        <x:v>C1-05</x:v>
      </x:c>
      <x:c r="D9" s="28" t="str">
        <x:v>C1-04</x:v>
      </x:c>
      <x:c r="E9" s="28" t="str">
        <x:v>بداية القيادة</x:v>
      </x:c>
      <x:c r="F9" s="28" t="str">
        <x:v>حاجز حقيقي؛ لا تفتح تلقائيًا</x:v>
      </x:c>
      <x:c r="G9" s="28" t="str">
        <x:v>P0</x:v>
      </x:c>
      <x:c r="H9" s="28" t="str">
        <x:v>موجود حاليًا</x:v>
      </x:c>
    </x:row>
    <x:row r="10" ht="43" customHeight="1">
      <x:c r="A10" s="28" t="str">
        <x:v>DP-005</x:v>
      </x:c>
      <x:c r="B10" s="28" t="str">
        <x:v>C1-05</x:v>
      </x:c>
      <x:c r="C10" s="28" t="str">
        <x:v>C1-06</x:v>
      </x:c>
      <x:c r="D10" s="28" t="str">
        <x:v>C1-05</x:v>
      </x:c>
      <x:c r="E10" s="28" t="str">
        <x:v>المنارة التالية</x:v>
      </x:c>
      <x:c r="F10" s="28" t="str">
        <x:v>حاجز حقيقي؛ لا تفتح تلقائيًا</x:v>
      </x:c>
      <x:c r="G10" s="28" t="str">
        <x:v>P0</x:v>
      </x:c>
      <x:c r="H10" s="28" t="str">
        <x:v>موجود حاليًا</x:v>
      </x:c>
    </x:row>
    <x:row r="11" ht="43" customHeight="1">
      <x:c r="A11" s="28" t="str">
        <x:v>DP-006</x:v>
      </x:c>
      <x:c r="B11" s="28" t="str">
        <x:v>C1-06</x:v>
      </x:c>
      <x:c r="C11" s="28" t="str">
        <x:v>C1-07</x:v>
      </x:c>
      <x:c r="D11" s="28" t="str">
        <x:v>C1-06 + 3 حزم</x:v>
      </x:c>
      <x:c r="E11" s="28" t="str">
        <x:v>فتح المعمل</x:v>
      </x:c>
      <x:c r="F11" s="28" t="str">
        <x:v>حاجز حقيقي؛ لا تفتح تلقائيًا</x:v>
      </x:c>
      <x:c r="G11" s="28" t="str">
        <x:v>P0</x:v>
      </x:c>
      <x:c r="H11" s="28" t="str">
        <x:v>موجود حاليًا</x:v>
      </x:c>
    </x:row>
    <x:row r="12" ht="43" customHeight="1">
      <x:c r="A12" s="28" t="str">
        <x:v>DP-007</x:v>
      </x:c>
      <x:c r="B12" s="28" t="str">
        <x:v>C1-07</x:v>
      </x:c>
      <x:c r="C12" s="28" t="str">
        <x:v>C1-08</x:v>
      </x:c>
      <x:c r="D12" s="28" t="str">
        <x:v>C1-07</x:v>
      </x:c>
      <x:c r="E12" s="28" t="str">
        <x:v>استنتاج معتمد</x:v>
      </x:c>
      <x:c r="F12" s="28" t="str">
        <x:v>حاجز حقيقي؛ لا تفتح تلقائيًا</x:v>
      </x:c>
      <x:c r="G12" s="28" t="str">
        <x:v>P0</x:v>
      </x:c>
      <x:c r="H12" s="28" t="str">
        <x:v>موجود حاليًا</x:v>
      </x:c>
    </x:row>
    <x:row r="13" ht="43" customHeight="1">
      <x:c r="A13" s="28" t="str">
        <x:v>DP-008</x:v>
      </x:c>
      <x:c r="B13" s="28" t="str">
        <x:v>C1-08</x:v>
      </x:c>
      <x:c r="C13" s="28" t="str">
        <x:v>C1-09</x:v>
      </x:c>
      <x:c r="D13" s="28" t="str">
        <x:v>C1-08 + أدلة</x:v>
      </x:c>
      <x:c r="E13" s="28" t="str">
        <x:v>فتح معرض Apollo</x:v>
      </x:c>
      <x:c r="F13" s="28" t="str">
        <x:v>حاجز حقيقي؛ لا تفتح تلقائيًا</x:v>
      </x:c>
      <x:c r="G13" s="28" t="str">
        <x:v>P0</x:v>
      </x:c>
      <x:c r="H13" s="28" t="str">
        <x:v>موجود حاليًا</x:v>
      </x:c>
    </x:row>
    <x:row r="14" ht="43" customHeight="1">
      <x:c r="A14" s="28" t="str">
        <x:v>DP-009</x:v>
      </x:c>
      <x:c r="B14" s="28" t="str">
        <x:v>C1-09</x:v>
      </x:c>
      <x:c r="C14" s="28" t="str">
        <x:v>C1-10</x:v>
      </x:c>
      <x:c r="D14" s="28" t="str">
        <x:v>C1-09</x:v>
      </x:c>
      <x:c r="E14" s="28" t="str">
        <x:v>Opportunity</x:v>
      </x:c>
      <x:c r="F14" s="28" t="str">
        <x:v>حاجز حقيقي؛ لا تفتح تلقائيًا</x:v>
      </x:c>
      <x:c r="G14" s="28" t="str">
        <x:v>P0</x:v>
      </x:c>
      <x:c r="H14" s="28" t="str">
        <x:v>موجود حاليًا</x:v>
      </x:c>
    </x:row>
    <x:row r="15" ht="43" customHeight="1">
      <x:c r="A15" s="28" t="str">
        <x:v>DP-010</x:v>
      </x:c>
      <x:c r="B15" s="28" t="str">
        <x:v>C1-10</x:v>
      </x:c>
      <x:c r="C15" s="28" t="str">
        <x:v>C2-01</x:v>
      </x:c>
      <x:c r="D15" s="28" t="str">
        <x:v>C1-10</x:v>
      </x:c>
      <x:c r="E15" s="28" t="str">
        <x:v>نظام الطاقة</x:v>
      </x:c>
      <x:c r="F15" s="28" t="str">
        <x:v>حاجز حقيقي؛ لا تفتح تلقائيًا</x:v>
      </x:c>
      <x:c r="G15" s="28" t="str">
        <x:v>P0</x:v>
      </x:c>
      <x:c r="H15" s="28" t="str">
        <x:v>موجود حاليًا</x:v>
      </x:c>
    </x:row>
    <x:row r="16" ht="43" customHeight="1">
      <x:c r="A16" s="28" t="str">
        <x:v>DP-011</x:v>
      </x:c>
      <x:c r="B16" s="28" t="str">
        <x:v>C2-01</x:v>
      </x:c>
      <x:c r="C16" s="28" t="str">
        <x:v>C2-02</x:v>
      </x:c>
      <x:c r="D16" s="28" t="str">
        <x:v>C2-01</x:v>
      </x:c>
      <x:c r="E16" s="28" t="str">
        <x:v>طاقة اليوم 2</x:v>
      </x:c>
      <x:c r="F16" s="28" t="str">
        <x:v>حاجز حقيقي؛ لا تفتح تلقائيًا</x:v>
      </x:c>
      <x:c r="G16" s="28" t="str">
        <x:v>P0</x:v>
      </x:c>
      <x:c r="H16" s="28" t="str">
        <x:v>موجود حاليًا</x:v>
      </x:c>
    </x:row>
    <x:row r="17" ht="43" customHeight="1">
      <x:c r="A17" s="28" t="str">
        <x:v>DP-012</x:v>
      </x:c>
      <x:c r="B17" s="28" t="str">
        <x:v>C2-02</x:v>
      </x:c>
      <x:c r="C17" s="28" t="str">
        <x:v>C2-03</x:v>
      </x:c>
      <x:c r="D17" s="28" t="str">
        <x:v>C2-02</x:v>
      </x:c>
      <x:c r="E17" s="28" t="str">
        <x:v>طاقة اليوم 3</x:v>
      </x:c>
      <x:c r="F17" s="28" t="str">
        <x:v>حاجز حقيقي؛ لا تفتح تلقائيًا</x:v>
      </x:c>
      <x:c r="G17" s="28" t="str">
        <x:v>P0</x:v>
      </x:c>
      <x:c r="H17" s="28" t="str">
        <x:v>موجود حاليًا</x:v>
      </x:c>
    </x:row>
    <x:row r="18" ht="43" customHeight="1">
      <x:c r="A18" s="28" t="str">
        <x:v>DP-013</x:v>
      </x:c>
      <x:c r="B18" s="28" t="str">
        <x:v>C2-03</x:v>
      </x:c>
      <x:c r="C18" s="28" t="str">
        <x:v>C2-04</x:v>
      </x:c>
      <x:c r="D18" s="28" t="str">
        <x:v>C2-03</x:v>
      </x:c>
      <x:c r="E18" s="28" t="str">
        <x:v>طاقة اليوم 4</x:v>
      </x:c>
      <x:c r="F18" s="28" t="str">
        <x:v>حاجز حقيقي؛ لا تفتح تلقائيًا</x:v>
      </x:c>
      <x:c r="G18" s="28" t="str">
        <x:v>P0</x:v>
      </x:c>
      <x:c r="H18" s="28" t="str">
        <x:v>موجود حاليًا</x:v>
      </x:c>
    </x:row>
    <x:row r="19" ht="43" customHeight="1">
      <x:c r="A19" s="28" t="str">
        <x:v>DP-014</x:v>
      </x:c>
      <x:c r="B19" s="28" t="str">
        <x:v>C2-04</x:v>
      </x:c>
      <x:c r="C19" s="28" t="str">
        <x:v>C2-05</x:v>
      </x:c>
      <x:c r="D19" s="28" t="str">
        <x:v>C2-04</x:v>
      </x:c>
      <x:c r="E19" s="28" t="str">
        <x:v>فك شيفرة</x:v>
      </x:c>
      <x:c r="F19" s="28" t="str">
        <x:v>حاجز حقيقي؛ لا تفتح تلقائيًا</x:v>
      </x:c>
      <x:c r="G19" s="28" t="str">
        <x:v>P0</x:v>
      </x:c>
      <x:c r="H19" s="28" t="str">
        <x:v>موجود حاليًا</x:v>
      </x:c>
    </x:row>
    <x:row r="20" ht="43" customHeight="1">
      <x:c r="A20" s="28" t="str">
        <x:v>DP-015</x:v>
      </x:c>
      <x:c r="B20" s="28" t="str">
        <x:v>C2-05</x:v>
      </x:c>
      <x:c r="C20" s="28" t="str">
        <x:v>C2-06</x:v>
      </x:c>
      <x:c r="D20" s="28" t="str">
        <x:v>C2-05</x:v>
      </x:c>
      <x:c r="E20" s="28" t="str">
        <x:v>إحياء سجل المتحف</x:v>
      </x:c>
      <x:c r="F20" s="28" t="str">
        <x:v>حاجز حقيقي؛ لا تفتح تلقائيًا</x:v>
      </x:c>
      <x:c r="G20" s="28" t="str">
        <x:v>P0</x:v>
      </x:c>
      <x:c r="H20" s="28" t="str">
        <x:v>موجود حاليًا</x:v>
      </x:c>
    </x:row>
    <x:row r="21" ht="43" customHeight="1">
      <x:c r="A21" s="28" t="str">
        <x:v>DP-016</x:v>
      </x:c>
      <x:c r="B21" s="28" t="str">
        <x:v>C2-06</x:v>
      </x:c>
      <x:c r="C21" s="28" t="str">
        <x:v>C2-07</x:v>
      </x:c>
      <x:c r="D21" s="28" t="str">
        <x:v>C2-06</x:v>
      </x:c>
      <x:c r="E21" s="28" t="str">
        <x:v>نهاية أولية</x:v>
      </x:c>
      <x:c r="F21" s="28" t="str">
        <x:v>حاجز حقيقي؛ لا تفتح تلقائيًا</x:v>
      </x:c>
      <x:c r="G21" s="28" t="str">
        <x:v>P0</x:v>
      </x:c>
      <x:c r="H21" s="28" t="str">
        <x:v>موجود حاليًا</x:v>
      </x:c>
    </x:row>
    <x:row r="22" ht="43" customHeight="1">
      <x:c r="A22" s="28" t="str">
        <x:v>LK-001</x:v>
      </x:c>
      <x:c r="B22" s="28" t="str">
        <x:v>PZ01</x:v>
      </x:c>
      <x:c r="C22" s="28" t="str">
        <x:v>PZ02</x:v>
      </x:c>
      <x:c r="D22" s="28" t="str">
        <x:v>3 أدلة أساسية</x:v>
      </x:c>
      <x:c r="E22" s="28" t="str">
        <x:v>منع تخطي الدائرة</x:v>
      </x:c>
      <x:c r="F22" s="28" t="str">
        <x:v>منطق التصميم؛ راجع المتغيرات الفعلية</x:v>
      </x:c>
      <x:c r="G22" s="28" t="str">
        <x:v>P0</x:v>
      </x:c>
      <x:c r="H22" s="28" t="str">
        <x:v>موجود حاليًا</x:v>
      </x:c>
    </x:row>
    <x:row r="23" ht="43" customHeight="1">
      <x:c r="A23" s="28" t="str">
        <x:v>LK-002</x:v>
      </x:c>
      <x:c r="B23" s="28" t="str">
        <x:v>PZ02</x:v>
      </x:c>
      <x:c r="C23" s="28" t="str">
        <x:v>PZ03</x:v>
      </x:c>
      <x:c r="D23" s="28" t="str">
        <x:v>الشبكة متصلة</x:v>
      </x:c>
      <x:c r="E23" s="28" t="str">
        <x:v>فتح الربط</x:v>
      </x:c>
      <x:c r="F23" s="28" t="str">
        <x:v>منطق التصميم؛ راجع المتغيرات الفعلية</x:v>
      </x:c>
      <x:c r="G23" s="28" t="str">
        <x:v>P0</x:v>
      </x:c>
      <x:c r="H23" s="28" t="str">
        <x:v>موجود حاليًا</x:v>
      </x:c>
    </x:row>
    <x:row r="24" ht="43" customHeight="1">
      <x:c r="A24" s="28" t="str">
        <x:v>LK-003</x:v>
      </x:c>
      <x:c r="B24" s="28" t="str">
        <x:v>PZ03</x:v>
      </x:c>
      <x:c r="C24" s="28" t="str">
        <x:v>PZ04</x:v>
      </x:c>
      <x:c r="D24" s="28" t="str">
        <x:v>3 روابط صحيحة</x:v>
      </x:c>
      <x:c r="E24" s="28" t="str">
        <x:v>فتح المسار</x:v>
      </x:c>
      <x:c r="F24" s="28" t="str">
        <x:v>منطق التصميم؛ راجع المتغيرات الفعلية</x:v>
      </x:c>
      <x:c r="G24" s="28" t="str">
        <x:v>P0</x:v>
      </x:c>
      <x:c r="H24" s="28" t="str">
        <x:v>موجود حاليًا</x:v>
      </x:c>
    </x:row>
    <x:row r="25" ht="43" customHeight="1">
      <x:c r="A25" s="28" t="str">
        <x:v>LK-004</x:v>
      </x:c>
      <x:c r="B25" s="28" t="str">
        <x:v>PZ04</x:v>
      </x:c>
      <x:c r="C25" s="28" t="str">
        <x:v>PZ05</x:v>
      </x:c>
      <x:c r="D25" s="28" t="str">
        <x:v>قرار مسار</x:v>
      </x:c>
      <x:c r="E25" s="28" t="str">
        <x:v>بدء القيادة</x:v>
      </x:c>
      <x:c r="F25" s="28" t="str">
        <x:v>منطق التصميم؛ راجع المتغيرات الفعلية</x:v>
      </x:c>
      <x:c r="G25" s="28" t="str">
        <x:v>P0</x:v>
      </x:c>
      <x:c r="H25" s="28" t="str">
        <x:v>موجود حاليًا</x:v>
      </x:c>
    </x:row>
    <x:row r="26" ht="43" customHeight="1">
      <x:c r="A26" s="28" t="str">
        <x:v>LK-005</x:v>
      </x:c>
      <x:c r="B26" s="28" t="str">
        <x:v>PZ05</x:v>
      </x:c>
      <x:c r="C26" s="28" t="str">
        <x:v>PZ06</x:v>
      </x:c>
      <x:c r="D26" s="28" t="str">
        <x:v>تحكم بالمركبة</x:v>
      </x:c>
      <x:c r="E26" s="28" t="str">
        <x:v>تظهر مواقع الجمع</x:v>
      </x:c>
      <x:c r="F26" s="28" t="str">
        <x:v>منطق التصميم؛ راجع المتغيرات الفعلية</x:v>
      </x:c>
      <x:c r="G26" s="28" t="str">
        <x:v>P0</x:v>
      </x:c>
      <x:c r="H26" s="28" t="str">
        <x:v>موجود حاليًا</x:v>
      </x:c>
    </x:row>
    <x:row r="27" ht="43" customHeight="1">
      <x:c r="A27" s="28" t="str">
        <x:v>LK-006</x:v>
      </x:c>
      <x:c r="B27" s="28" t="str">
        <x:v>PZ06</x:v>
      </x:c>
      <x:c r="C27" s="28" t="str">
        <x:v>PZ07</x:v>
      </x:c>
      <x:c r="D27" s="28" t="str">
        <x:v>3 حزم</x:v>
      </x:c>
      <x:c r="E27" s="28" t="str">
        <x:v>فتح التصنيف</x:v>
      </x:c>
      <x:c r="F27" s="28" t="str">
        <x:v>منطق التصميم؛ راجع المتغيرات الفعلية</x:v>
      </x:c>
      <x:c r="G27" s="28" t="str">
        <x:v>P0</x:v>
      </x:c>
      <x:c r="H27" s="28" t="str">
        <x:v>موجود حاليًا</x:v>
      </x:c>
    </x:row>
    <x:row r="28" ht="43" customHeight="1">
      <x:c r="A28" s="28" t="str">
        <x:v>LK-007</x:v>
      </x:c>
      <x:c r="B28" s="28" t="str">
        <x:v>PZ07</x:v>
      </x:c>
      <x:c r="C28" s="28" t="str">
        <x:v>PZ08</x:v>
      </x:c>
      <x:c r="D28" s="28" t="str">
        <x:v>3 نتائج تصنيف صحيحة</x:v>
      </x:c>
      <x:c r="E28" s="28" t="str">
        <x:v>فتح تجربة الزمن</x:v>
      </x:c>
      <x:c r="F28" s="28" t="str">
        <x:v>منطق التصميم؛ راجع المتغيرات الفعلية</x:v>
      </x:c>
      <x:c r="G28" s="28" t="str">
        <x:v>P0</x:v>
      </x:c>
      <x:c r="H28" s="28" t="str">
        <x:v>موجود حاليًا</x:v>
      </x:c>
    </x:row>
    <x:row r="29" ht="43" customHeight="1">
      <x:c r="A29" s="28" t="str">
        <x:v>LK-008</x:v>
      </x:c>
      <x:c r="B29" s="28" t="str">
        <x:v>PZ08</x:v>
      </x:c>
      <x:c r="C29" s="28" t="str">
        <x:v>PZ09</x:v>
      </x:c>
      <x:c r="D29" s="28" t="str">
        <x:v>التجربة أُنجزت</x:v>
      </x:c>
      <x:c r="E29" s="28" t="str">
        <x:v>فتح استنتاج</x:v>
      </x:c>
      <x:c r="F29" s="28" t="str">
        <x:v>منطق التصميم؛ راجع المتغيرات الفعلية</x:v>
      </x:c>
      <x:c r="G29" s="28" t="str">
        <x:v>P0</x:v>
      </x:c>
      <x:c r="H29" s="28" t="str">
        <x:v>موجود حاليًا</x:v>
      </x:c>
    </x:row>
    <x:row r="30" ht="43" customHeight="1">
      <x:c r="A30" s="28" t="str">
        <x:v>LK-009</x:v>
      </x:c>
      <x:c r="B30" s="28" t="str">
        <x:v>PZ09</x:v>
      </x:c>
      <x:c r="C30" s="28" t="str">
        <x:v>PZ10</x:v>
      </x:c>
      <x:c r="D30" s="28" t="str">
        <x:v>عرض Apollo مكتمل</x:v>
      </x:c>
      <x:c r="E30" s="28" t="str">
        <x:v>فتح المريخ</x:v>
      </x:c>
      <x:c r="F30" s="28" t="str">
        <x:v>منطق التصميم؛ راجع المتغيرات الفعلية</x:v>
      </x:c>
      <x:c r="G30" s="28" t="str">
        <x:v>P0</x:v>
      </x:c>
      <x:c r="H30" s="28" t="str">
        <x:v>موجود حاليًا</x:v>
      </x:c>
    </x:row>
    <x:row r="31" ht="43" customHeight="1">
      <x:c r="A31" s="28" t="str">
        <x:v>LK-010</x:v>
      </x:c>
      <x:c r="B31" s="28" t="str">
        <x:v>PZ10</x:v>
      </x:c>
      <x:c r="C31" s="28" t="str">
        <x:v>PZ11</x:v>
      </x:c>
      <x:c r="D31" s="28" t="str">
        <x:v>Sol 1 مكتمل</x:v>
      </x:c>
      <x:c r="E31" s="28" t="str">
        <x:v>يتاح Sol 2</x:v>
      </x:c>
      <x:c r="F31" s="28" t="str">
        <x:v>منطق التصميم؛ راجع المتغيرات الفعلية</x:v>
      </x:c>
      <x:c r="G31" s="28" t="str">
        <x:v>P0</x:v>
      </x:c>
      <x:c r="H31" s="28" t="str">
        <x:v>موجود حاليًا</x:v>
      </x:c>
    </x:row>
    <x:row r="32" ht="43" customHeight="1">
      <x:c r="A32" s="28" t="str">
        <x:v>LK-011</x:v>
      </x:c>
      <x:c r="B32" s="28" t="str">
        <x:v>PZ11</x:v>
      </x:c>
      <x:c r="C32" s="28" t="str">
        <x:v>PZ12</x:v>
      </x:c>
      <x:c r="D32" s="28" t="str">
        <x:v>Sol 2 مكتمل</x:v>
      </x:c>
      <x:c r="E32" s="28" t="str">
        <x:v>يتاح Sol 3</x:v>
      </x:c>
      <x:c r="F32" s="28" t="str">
        <x:v>منطق التصميم؛ راجع المتغيرات الفعلية</x:v>
      </x:c>
      <x:c r="G32" s="28" t="str">
        <x:v>P0</x:v>
      </x:c>
      <x:c r="H32" s="28" t="str">
        <x:v>موجود حاليًا</x:v>
      </x:c>
    </x:row>
    <x:row r="33" ht="43" customHeight="1">
      <x:c r="A33" s="28" t="str">
        <x:v>LK-012</x:v>
      </x:c>
      <x:c r="B33" s="28" t="str">
        <x:v>PZ12</x:v>
      </x:c>
      <x:c r="C33" s="28" t="str">
        <x:v>PZ13</x:v>
      </x:c>
      <x:c r="D33" s="28" t="str">
        <x:v>Sol 3 مكتمل</x:v>
      </x:c>
      <x:c r="E33" s="28" t="str">
        <x:v>يتاح Sol 4</x:v>
      </x:c>
      <x:c r="F33" s="28" t="str">
        <x:v>منطق التصميم؛ راجع المتغيرات الفعلية</x:v>
      </x:c>
      <x:c r="G33" s="28" t="str">
        <x:v>P0</x:v>
      </x:c>
      <x:c r="H33" s="28" t="str">
        <x:v>موجود حاليًا</x:v>
      </x:c>
    </x:row>
    <x:row r="34" ht="43" customHeight="1">
      <x:c r="A34" s="28" t="str">
        <x:v>LK-013</x:v>
      </x:c>
      <x:c r="B34" s="28" t="str">
        <x:v>PZ13</x:v>
      </x:c>
      <x:c r="C34" s="28" t="str">
        <x:v>PZ14</x:v>
      </x:c>
      <x:c r="D34" s="28" t="str">
        <x:v>Sol 4 مكتمل</x:v>
      </x:c>
      <x:c r="E34" s="28" t="str">
        <x:v>فتح فك الإشارة</x:v>
      </x:c>
      <x:c r="F34" s="28" t="str">
        <x:v>منطق التصميم؛ راجع المتغيرات الفعلية</x:v>
      </x:c>
      <x:c r="G34" s="28" t="str">
        <x:v>P0</x:v>
      </x:c>
      <x:c r="H34" s="28" t="str">
        <x:v>موجود حاليًا</x:v>
      </x:c>
    </x:row>
    <x:row r="35" ht="43" customHeight="1">
      <x:c r="A35" s="28" t="str">
        <x:v>LK-014</x:v>
      </x:c>
      <x:c r="B35" s="28" t="str">
        <x:v>PZ14</x:v>
      </x:c>
      <x:c r="C35" s="28" t="str">
        <x:v>PZ15</x:v>
      </x:c>
      <x:c r="D35" s="28" t="str">
        <x:v>خاتمة Opportunity</x:v>
      </x:c>
      <x:c r="E35" s="28" t="str">
        <x:v>فتح علاقات المتحف</x:v>
      </x:c>
      <x:c r="F35" s="28" t="str">
        <x:v>منطق التصميم؛ راجع المتغيرات الفعلية</x:v>
      </x:c>
      <x:c r="G35" s="28" t="str">
        <x:v>P0</x:v>
      </x:c>
      <x:c r="H35" s="28" t="str">
        <x:v>موجود حاليًا</x:v>
      </x:c>
    </x:row>
    <x:row r="36" ht="43" customHeight="1">
      <x:c r="A36" s="28" t="str">
        <x:v>LK-015</x:v>
      </x:c>
      <x:c r="B36" s="28" t="str">
        <x:v>PZ21</x:v>
      </x:c>
      <x:c r="C36" s="28" t="str">
        <x:v>PZ35</x:v>
      </x:c>
      <x:c r="D36" s="28" t="str">
        <x:v>دليل مخفي اختياري</x:v>
      </x:c>
      <x:c r="E36" s="28" t="str">
        <x:v>إضافة تذكارية لا شرط إجباري</x:v>
      </x:c>
      <x:c r="F36" s="28" t="str">
        <x:v>منطق التصميم؛ راجع المتغيرات الفعلية</x:v>
      </x:c>
      <x:c r="G36" s="28" t="str">
        <x:v>P1</x:v>
      </x:c>
      <x:c r="H36" s="28" t="str">
        <x:v>مخطط</x:v>
      </x:c>
    </x:row>
    <x:row r="37" ht="43" customHeight="1">
      <x:c r="A37" s="28" t="str">
        <x:v>LK-016</x:v>
      </x:c>
      <x:c r="B37" s="28" t="str">
        <x:v>PZ33</x:v>
      </x:c>
      <x:c r="C37" s="28" t="str">
        <x:v>PZ35</x:v>
      </x:c>
      <x:c r="D37" s="28" t="str">
        <x:v>تصنيف المصدر</x:v>
      </x:c>
      <x:c r="E37" s="28" t="str">
        <x:v>علم متحفظ</x:v>
      </x:c>
      <x:c r="F37" s="28" t="str">
        <x:v>منطق التصميم؛ راجع المتغيرات الفعلية</x:v>
      </x:c>
      <x:c r="G37" s="28" t="str">
        <x:v>P1</x:v>
      </x:c>
      <x:c r="H37" s="28" t="str">
        <x:v>مخطط</x:v>
      </x:c>
    </x:row>
    <x:row r="38" ht="43" customHeight="1">
      <x:c r="A38" s="28" t="str">
        <x:v>UX-001</x:v>
      </x:c>
      <x:c r="B38" s="28" t="str">
        <x:v>حالة 1</x:v>
      </x:c>
      <x:c r="C38" s="28" t="str">
        <x:v>نتيجة 1</x:v>
      </x:c>
      <x:c r="D38" s="28" t="str">
        <x:v>إذا اختفى عنصر الدليل أو تم التحديث بمنتصف اللغز رقم 1</x:v>
      </x:c>
      <x:c r="E38" s="28" t="str">
        <x:v>يسترجع الوضع من حفظ صحيح</x:v>
      </x:c>
      <x:c r="F38" s="28" t="str">
        <x:v>شرط اختبار مقترح؛ ليس مرحلة إضافية</x:v>
      </x:c>
      <x:c r="G38" s="28" t="str">
        <x:v>P1</x:v>
      </x:c>
      <x:c r="H38" s="28" t="str">
        <x:v>مخطط</x:v>
      </x:c>
    </x:row>
    <x:row r="39" ht="43" customHeight="1">
      <x:c r="A39" s="28" t="str">
        <x:v>UX-002</x:v>
      </x:c>
      <x:c r="B39" s="28" t="str">
        <x:v>حالة 2</x:v>
      </x:c>
      <x:c r="C39" s="28" t="str">
        <x:v>نتيجة 2</x:v>
      </x:c>
      <x:c r="D39" s="28" t="str">
        <x:v>إذا اختفى عنصر الدليل أو تم التحديث بمنتصف اللغز رقم 2</x:v>
      </x:c>
      <x:c r="E39" s="28" t="str">
        <x:v>يسترجع الوضع من حفظ صحيح</x:v>
      </x:c>
      <x:c r="F39" s="28" t="str">
        <x:v>شرط اختبار مقترح؛ ليس مرحلة إضافية</x:v>
      </x:c>
      <x:c r="G39" s="28" t="str">
        <x:v>P1</x:v>
      </x:c>
      <x:c r="H39" s="28" t="str">
        <x:v>مخطط</x:v>
      </x:c>
    </x:row>
    <x:row r="40" ht="43" customHeight="1">
      <x:c r="A40" s="28" t="str">
        <x:v>UX-003</x:v>
      </x:c>
      <x:c r="B40" s="28" t="str">
        <x:v>حالة 3</x:v>
      </x:c>
      <x:c r="C40" s="28" t="str">
        <x:v>نتيجة 3</x:v>
      </x:c>
      <x:c r="D40" s="28" t="str">
        <x:v>إذا اختفى عنصر الدليل أو تم التحديث بمنتصف اللغز رقم 3</x:v>
      </x:c>
      <x:c r="E40" s="28" t="str">
        <x:v>يسترجع الوضع من حفظ صحيح</x:v>
      </x:c>
      <x:c r="F40" s="28" t="str">
        <x:v>شرط اختبار مقترح؛ ليس مرحلة إضافية</x:v>
      </x:c>
      <x:c r="G40" s="28" t="str">
        <x:v>P1</x:v>
      </x:c>
      <x:c r="H40" s="28" t="str">
        <x:v>مخطط</x:v>
      </x:c>
    </x:row>
    <x:row r="41" ht="43" customHeight="1">
      <x:c r="A41" s="28" t="str">
        <x:v>UX-004</x:v>
      </x:c>
      <x:c r="B41" s="28" t="str">
        <x:v>حالة 4</x:v>
      </x:c>
      <x:c r="C41" s="28" t="str">
        <x:v>نتيجة 4</x:v>
      </x:c>
      <x:c r="D41" s="28" t="str">
        <x:v>إذا اختفى عنصر الدليل أو تم التحديث بمنتصف اللغز رقم 4</x:v>
      </x:c>
      <x:c r="E41" s="28" t="str">
        <x:v>يسترجع الوضع من حفظ صحيح</x:v>
      </x:c>
      <x:c r="F41" s="28" t="str">
        <x:v>شرط اختبار مقترح؛ ليس مرحلة إضافية</x:v>
      </x:c>
      <x:c r="G41" s="28" t="str">
        <x:v>P1</x:v>
      </x:c>
      <x:c r="H41" s="28" t="str">
        <x:v>مخطط</x:v>
      </x:c>
    </x:row>
    <x:row r="42" ht="43" customHeight="1">
      <x:c r="A42" s="28" t="str">
        <x:v>UX-005</x:v>
      </x:c>
      <x:c r="B42" s="28" t="str">
        <x:v>حالة 5</x:v>
      </x:c>
      <x:c r="C42" s="28" t="str">
        <x:v>نتيجة 5</x:v>
      </x:c>
      <x:c r="D42" s="28" t="str">
        <x:v>إذا اختفى عنصر الدليل أو تم التحديث بمنتصف اللغز رقم 5</x:v>
      </x:c>
      <x:c r="E42" s="28" t="str">
        <x:v>يسترجع الوضع من حفظ صحيح</x:v>
      </x:c>
      <x:c r="F42" s="28" t="str">
        <x:v>شرط اختبار مقترح؛ ليس مرحلة إضافية</x:v>
      </x:c>
      <x:c r="G42" s="28" t="str">
        <x:v>P1</x:v>
      </x:c>
      <x:c r="H42" s="28" t="str">
        <x:v>مخطط</x:v>
      </x:c>
    </x:row>
    <x:row r="43" ht="43" customHeight="1">
      <x:c r="A43" s="28" t="str">
        <x:v>UX-006</x:v>
      </x:c>
      <x:c r="B43" s="28" t="str">
        <x:v>حالة 6</x:v>
      </x:c>
      <x:c r="C43" s="28" t="str">
        <x:v>نتيجة 6</x:v>
      </x:c>
      <x:c r="D43" s="28" t="str">
        <x:v>إذا اختفى عنصر الدليل أو تم التحديث بمنتصف اللغز رقم 6</x:v>
      </x:c>
      <x:c r="E43" s="28" t="str">
        <x:v>يسترجع الوضع من حفظ صحيح</x:v>
      </x:c>
      <x:c r="F43" s="28" t="str">
        <x:v>شرط اختبار مقترح؛ ليس مرحلة إضافية</x:v>
      </x:c>
      <x:c r="G43" s="28" t="str">
        <x:v>P1</x:v>
      </x:c>
      <x:c r="H43" s="28" t="str">
        <x:v>مخطط</x:v>
      </x:c>
    </x:row>
    <x:row r="44" ht="43" customHeight="1">
      <x:c r="A44" s="28" t="str">
        <x:v>UX-007</x:v>
      </x:c>
      <x:c r="B44" s="28" t="str">
        <x:v>حالة 7</x:v>
      </x:c>
      <x:c r="C44" s="28" t="str">
        <x:v>نتيجة 7</x:v>
      </x:c>
      <x:c r="D44" s="28" t="str">
        <x:v>إذا اختفى عنصر الدليل أو تم التحديث بمنتصف اللغز رقم 7</x:v>
      </x:c>
      <x:c r="E44" s="28" t="str">
        <x:v>يسترجع الوضع من حفظ صحيح</x:v>
      </x:c>
      <x:c r="F44" s="28" t="str">
        <x:v>شرط اختبار مقترح؛ ليس مرحلة إضافية</x:v>
      </x:c>
      <x:c r="G44" s="28" t="str">
        <x:v>P1</x:v>
      </x:c>
      <x:c r="H44" s="28" t="str">
        <x:v>مخطط</x:v>
      </x:c>
    </x:row>
    <x:row r="45" ht="43" customHeight="1">
      <x:c r="A45" s="28" t="str">
        <x:v>UX-008</x:v>
      </x:c>
      <x:c r="B45" s="28" t="str">
        <x:v>حالة 8</x:v>
      </x:c>
      <x:c r="C45" s="28" t="str">
        <x:v>نتيجة 8</x:v>
      </x:c>
      <x:c r="D45" s="28" t="str">
        <x:v>إذا اختفى عنصر الدليل أو تم التحديث بمنتصف اللغز رقم 8</x:v>
      </x:c>
      <x:c r="E45" s="28" t="str">
        <x:v>يسترجع الوضع من حفظ صحيح</x:v>
      </x:c>
      <x:c r="F45" s="28" t="str">
        <x:v>شرط اختبار مقترح؛ ليس مرحلة إضافية</x:v>
      </x:c>
      <x:c r="G45" s="28" t="str">
        <x:v>P1</x:v>
      </x:c>
      <x:c r="H45" s="28" t="str">
        <x:v>مخطط</x:v>
      </x:c>
    </x:row>
    <x:row r="46" ht="43" customHeight="1">
      <x:c r="A46" s="28" t="str">
        <x:v>UX-009</x:v>
      </x:c>
      <x:c r="B46" s="28" t="str">
        <x:v>حالة 9</x:v>
      </x:c>
      <x:c r="C46" s="28" t="str">
        <x:v>نتيجة 9</x:v>
      </x:c>
      <x:c r="D46" s="28" t="str">
        <x:v>إذا اختفى عنصر الدليل أو تم التحديث بمنتصف اللغز رقم 9</x:v>
      </x:c>
      <x:c r="E46" s="28" t="str">
        <x:v>يسترجع الوضع من حفظ صحيح</x:v>
      </x:c>
      <x:c r="F46" s="28" t="str">
        <x:v>شرط اختبار مقترح؛ ليس مرحلة إضافية</x:v>
      </x:c>
      <x:c r="G46" s="28" t="str">
        <x:v>P1</x:v>
      </x:c>
      <x:c r="H46" s="28" t="str">
        <x:v>مخطط</x:v>
      </x:c>
    </x:row>
    <x:row r="47" ht="43" customHeight="1">
      <x:c r="A47" s="28" t="str">
        <x:v>UX-010</x:v>
      </x:c>
      <x:c r="B47" s="28" t="str">
        <x:v>حالة 10</x:v>
      </x:c>
      <x:c r="C47" s="28" t="str">
        <x:v>نتيجة 10</x:v>
      </x:c>
      <x:c r="D47" s="28" t="str">
        <x:v>إذا اختفى عنصر الدليل أو تم التحديث بمنتصف اللغز رقم 10</x:v>
      </x:c>
      <x:c r="E47" s="28" t="str">
        <x:v>يسترجع الوضع من حفظ صحيح</x:v>
      </x:c>
      <x:c r="F47" s="28" t="str">
        <x:v>شرط اختبار مقترح؛ ليس مرحلة إضافية</x:v>
      </x:c>
      <x:c r="G47" s="28" t="str">
        <x:v>P1</x:v>
      </x:c>
      <x:c r="H47" s="28" t="str">
        <x:v>مخطط</x:v>
      </x:c>
    </x:row>
    <x:row r="48" ht="43" customHeight="1">
      <x:c r="A48" s="28" t="str">
        <x:v>UX-011</x:v>
      </x:c>
      <x:c r="B48" s="28" t="str">
        <x:v>حالة 11</x:v>
      </x:c>
      <x:c r="C48" s="28" t="str">
        <x:v>نتيجة 11</x:v>
      </x:c>
      <x:c r="D48" s="28" t="str">
        <x:v>إذا اختفى عنصر الدليل أو تم التحديث بمنتصف اللغز رقم 11</x:v>
      </x:c>
      <x:c r="E48" s="28" t="str">
        <x:v>يسترجع الوضع من حفظ صحيح</x:v>
      </x:c>
      <x:c r="F48" s="28" t="str">
        <x:v>شرط اختبار مقترح؛ ليس مرحلة إضافية</x:v>
      </x:c>
      <x:c r="G48" s="28" t="str">
        <x:v>P1</x:v>
      </x:c>
      <x:c r="H48" s="28" t="str">
        <x:v>مخطط</x:v>
      </x:c>
    </x:row>
    <x:row r="49" ht="43" customHeight="1">
      <x:c r="A49" s="28" t="str">
        <x:v>UX-012</x:v>
      </x:c>
      <x:c r="B49" s="28" t="str">
        <x:v>حالة 12</x:v>
      </x:c>
      <x:c r="C49" s="28" t="str">
        <x:v>نتيجة 12</x:v>
      </x:c>
      <x:c r="D49" s="28" t="str">
        <x:v>إذا اختفى عنصر الدليل أو تم التحديث بمنتصف اللغز رقم 12</x:v>
      </x:c>
      <x:c r="E49" s="28" t="str">
        <x:v>يسترجع الوضع من حفظ صحيح</x:v>
      </x:c>
      <x:c r="F49" s="28" t="str">
        <x:v>شرط اختبار مقترح؛ ليس مرحلة إضافية</x:v>
      </x:c>
      <x:c r="G49" s="28" t="str">
        <x:v>P1</x:v>
      </x:c>
      <x:c r="H49" s="28" t="str">
        <x:v>مخطط</x:v>
      </x:c>
    </x:row>
    <x:row r="50" ht="43" customHeight="1">
      <x:c r="A50" s="28" t="str">
        <x:v>UX-013</x:v>
      </x:c>
      <x:c r="B50" s="28" t="str">
        <x:v>حالة 13</x:v>
      </x:c>
      <x:c r="C50" s="28" t="str">
        <x:v>نتيجة 13</x:v>
      </x:c>
      <x:c r="D50" s="28" t="str">
        <x:v>إذا اختفى عنصر الدليل أو تم التحديث بمنتصف اللغز رقم 13</x:v>
      </x:c>
      <x:c r="E50" s="28" t="str">
        <x:v>يسترجع الوضع من حفظ صحيح</x:v>
      </x:c>
      <x:c r="F50" s="28" t="str">
        <x:v>شرط اختبار مقترح؛ ليس مرحلة إضافية</x:v>
      </x:c>
      <x:c r="G50" s="28" t="str">
        <x:v>P1</x:v>
      </x:c>
      <x:c r="H50" s="28" t="str">
        <x:v>مخطط</x:v>
      </x:c>
    </x:row>
    <x:row r="51" ht="43" customHeight="1">
      <x:c r="A51" s="28" t="str">
        <x:v>UX-014</x:v>
      </x:c>
      <x:c r="B51" s="28" t="str">
        <x:v>حالة 14</x:v>
      </x:c>
      <x:c r="C51" s="28" t="str">
        <x:v>نتيجة 14</x:v>
      </x:c>
      <x:c r="D51" s="28" t="str">
        <x:v>إذا اختفى عنصر الدليل أو تم التحديث بمنتصف اللغز رقم 14</x:v>
      </x:c>
      <x:c r="E51" s="28" t="str">
        <x:v>يسترجع الوضع من حفظ صحيح</x:v>
      </x:c>
      <x:c r="F51" s="28" t="str">
        <x:v>شرط اختبار مقترح؛ ليس مرحلة إضافية</x:v>
      </x:c>
      <x:c r="G51" s="28" t="str">
        <x:v>P1</x:v>
      </x:c>
      <x:c r="H51" s="28" t="str">
        <x:v>مخطط</x:v>
      </x:c>
    </x:row>
    <x:row r="52" ht="43" customHeight="1">
      <x:c r="A52" s="28" t="str">
        <x:v>UX-015</x:v>
      </x:c>
      <x:c r="B52" s="28" t="str">
        <x:v>حالة 15</x:v>
      </x:c>
      <x:c r="C52" s="28" t="str">
        <x:v>نتيجة 15</x:v>
      </x:c>
      <x:c r="D52" s="28" t="str">
        <x:v>إذا اختفى عنصر الدليل أو تم التحديث بمنتصف اللغز رقم 15</x:v>
      </x:c>
      <x:c r="E52" s="28" t="str">
        <x:v>يسترجع الوضع من حفظ صحيح</x:v>
      </x:c>
      <x:c r="F52" s="28" t="str">
        <x:v>شرط اختبار مقترح؛ ليس مرحلة إضافية</x:v>
      </x:c>
      <x:c r="G52" s="28" t="str">
        <x:v>P1</x:v>
      </x:c>
      <x:c r="H52" s="28" t="str">
        <x:v>مخطط</x:v>
      </x:c>
    </x:row>
    <x:row r="53" ht="43" customHeight="1">
      <x:c r="A53" s="28" t="str">
        <x:v>UX-016</x:v>
      </x:c>
      <x:c r="B53" s="28" t="str">
        <x:v>حالة 16</x:v>
      </x:c>
      <x:c r="C53" s="28" t="str">
        <x:v>نتيجة 16</x:v>
      </x:c>
      <x:c r="D53" s="28" t="str">
        <x:v>إذا اختفى عنصر الدليل أو تم التحديث بمنتصف اللغز رقم 16</x:v>
      </x:c>
      <x:c r="E53" s="28" t="str">
        <x:v>يسترجع الوضع من حفظ صحيح</x:v>
      </x:c>
      <x:c r="F53" s="28" t="str">
        <x:v>شرط اختبار مقترح؛ ليس مرحلة إضافية</x:v>
      </x:c>
      <x:c r="G53" s="28" t="str">
        <x:v>P1</x:v>
      </x:c>
      <x:c r="H53" s="28" t="str">
        <x:v>مخطط</x:v>
      </x:c>
    </x:row>
    <x:row r="54" ht="43" customHeight="1">
      <x:c r="A54" s="28" t="str">
        <x:v>UX-017</x:v>
      </x:c>
      <x:c r="B54" s="28" t="str">
        <x:v>حالة 17</x:v>
      </x:c>
      <x:c r="C54" s="28" t="str">
        <x:v>نتيجة 17</x:v>
      </x:c>
      <x:c r="D54" s="28" t="str">
        <x:v>إذا اختفى عنصر الدليل أو تم التحديث بمنتصف اللغز رقم 17</x:v>
      </x:c>
      <x:c r="E54" s="28" t="str">
        <x:v>يسترجع الوضع من حفظ صحيح</x:v>
      </x:c>
      <x:c r="F54" s="28" t="str">
        <x:v>شرط اختبار مقترح؛ ليس مرحلة إضافية</x:v>
      </x:c>
      <x:c r="G54" s="28" t="str">
        <x:v>P1</x:v>
      </x:c>
      <x:c r="H54" s="28" t="str">
        <x:v>مخطط</x:v>
      </x:c>
    </x:row>
    <x:row r="55" ht="43" customHeight="1">
      <x:c r="A55" s="28" t="str">
        <x:v>UX-018</x:v>
      </x:c>
      <x:c r="B55" s="28" t="str">
        <x:v>حالة 18</x:v>
      </x:c>
      <x:c r="C55" s="28" t="str">
        <x:v>نتيجة 18</x:v>
      </x:c>
      <x:c r="D55" s="28" t="str">
        <x:v>إذا اختفى عنصر الدليل أو تم التحديث بمنتصف اللغز رقم 18</x:v>
      </x:c>
      <x:c r="E55" s="28" t="str">
        <x:v>يسترجع الوضع من حفظ صحيح</x:v>
      </x:c>
      <x:c r="F55" s="28" t="str">
        <x:v>شرط اختبار مقترح؛ ليس مرحلة إضافية</x:v>
      </x:c>
      <x:c r="G55" s="28" t="str">
        <x:v>P1</x:v>
      </x:c>
      <x:c r="H55" s="28" t="str">
        <x:v>مخطط</x:v>
      </x:c>
    </x:row>
    <x:row r="56" ht="43" customHeight="1">
      <x:c r="A56" s="28" t="str">
        <x:v>UX-019</x:v>
      </x:c>
      <x:c r="B56" s="28" t="str">
        <x:v>حالة 19</x:v>
      </x:c>
      <x:c r="C56" s="28" t="str">
        <x:v>نتيجة 19</x:v>
      </x:c>
      <x:c r="D56" s="28" t="str">
        <x:v>إذا اختفى عنصر الدليل أو تم التحديث بمنتصف اللغز رقم 19</x:v>
      </x:c>
      <x:c r="E56" s="28" t="str">
        <x:v>يسترجع الوضع من حفظ صحيح</x:v>
      </x:c>
      <x:c r="F56" s="28" t="str">
        <x:v>شرط اختبار مقترح؛ ليس مرحلة إضافية</x:v>
      </x:c>
      <x:c r="G56" s="28" t="str">
        <x:v>P1</x:v>
      </x:c>
      <x:c r="H56" s="28" t="str">
        <x:v>مخطط</x:v>
      </x:c>
    </x:row>
    <x:row r="57" ht="43" customHeight="1">
      <x:c r="A57" s="28" t="str">
        <x:v>UX-020</x:v>
      </x:c>
      <x:c r="B57" s="28" t="str">
        <x:v>حالة 20</x:v>
      </x:c>
      <x:c r="C57" s="28" t="str">
        <x:v>نتيجة 20</x:v>
      </x:c>
      <x:c r="D57" s="28" t="str">
        <x:v>إذا اختفى عنصر الدليل أو تم التحديث بمنتصف اللغز رقم 20</x:v>
      </x:c>
      <x:c r="E57" s="28" t="str">
        <x:v>يسترجع الوضع من حفظ صحيح</x:v>
      </x:c>
      <x:c r="F57" s="28" t="str">
        <x:v>شرط اختبار مقترح؛ ليس مرحلة إضافية</x:v>
      </x:c>
      <x:c r="G57" s="28" t="str">
        <x:v>P1</x:v>
      </x:c>
      <x:c r="H57" s="28" t="str">
        <x:v>مخطط</x:v>
      </x:c>
    </x:row>
  </x:sheetData>
  <x:mergeCells>
    <x:mergeCell ref="A1:H1"/>
    <x:mergeCell ref="A2:H2"/>
    <x:mergeCell ref="A3:H3"/>
  </x:mergeCells>
  <x:conditionalFormatting sqref="H6:H57">
    <x:cfRule type="expression" dxfId="22" priority="1">
      <x:formula>H6="مكتمل"</x:formula>
    </x:cfRule>
    <x:cfRule type="expression" dxfId="23" priority="2">
      <x:formula>H6="محظور حتى التحقق"</x:formula>
    </x:cfRule>
    <x:cfRule type="expression" dxfId="24" priority="3">
      <x:formula>H6="يحتاج تحقق"</x:formula>
    </x:cfRule>
  </x:conditionalFormatting>
  <x:conditionalFormatting sqref="G6:G57">
    <x:cfRule type="expression" dxfId="25" priority="4">
      <x:formula>G6="P0"</x:formula>
    </x:cfRule>
    <x:cfRule type="expression" dxfId="26" priority="5">
      <x:formula>G6="حرج"</x:formula>
    </x:cfRule>
  </x:conditionalFormatting>
  <x:dataValidations count="1">
    <x:dataValidation type="list" sqref="H6:H57">
      <x:formula1>"موجود حاليًا,قيد التطوير,مخطط,يحتاج تحقق,مكتمل,لم يبدأ,مؤجل,محظور حتى التحقق,غير منطبق"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40" hidden="0" customWidth="1"/>
    <x:col min="4" max="4" width="50" hidden="0" customWidth="1"/>
    <x:col min="5" max="5" width="68" hidden="0" customWidth="1"/>
    <x:col min="6" max="6" width="19" hidden="0" customWidth="1"/>
    <x:col min="7" max="7" width="18" hidden="0" customWidth="1"/>
    <x:col min="8" max="8" width="25" hidden="0" customWidth="1"/>
    <x:col min="9" max="9" width="19" hidden="0" customWidth="1"/>
  </x:cols>
  <x:sheetData>
    <x:row r="1" ht="38" customHeight="1">
      <x:c r="A1" s="4" t="str">
        <x:v>الأدلة والمقتنيات</x:v>
      </x:c>
      <x:c r="B1" s="4"/>
      <x:c r="C1" s="4"/>
      <x:c r="D1" s="4"/>
      <x:c r="E1" s="4"/>
      <x:c r="F1" s="4"/>
      <x:c r="G1" s="4"/>
      <x:c r="H1" s="4"/>
      <x:c r="I1" s="4"/>
    </x:row>
    <x:row r="2" ht="29" customHeight="1">
      <x:c r="A2" s="10" t="str">
        <x:v>سجل الأصول العلمية ومواقع الجمع، أين تصرف، وما هو واقعي مقابل خيالي</x:v>
      </x:c>
      <x:c r="B2" s="10"/>
      <x:c r="C2" s="10"/>
      <x:c r="D2" s="10"/>
      <x:c r="E2" s="10"/>
      <x:c r="F2" s="10"/>
      <x:c r="G2" s="10"/>
      <x:c r="H2" s="10"/>
      <x:c r="I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  <x:c r="H3" s="15"/>
      <x:c r="I3" s="15"/>
    </x:row>
    <x:row r="5" ht="34" customHeight="1">
      <x:c r="A5" s="21" t="str">
        <x:v>ID</x:v>
      </x:c>
      <x:c r="B5" s="21" t="str">
        <x:v>المهمة</x:v>
      </x:c>
      <x:c r="C5" s="21" t="str">
        <x:v>العنصر</x:v>
      </x:c>
      <x:c r="D5" s="21" t="str">
        <x:v>أين يحصل عليه اللاعب</x:v>
      </x:c>
      <x:c r="E5" s="21" t="str">
        <x:v>الفائدة التربوية</x:v>
      </x:c>
      <x:c r="F5" s="21" t="str">
        <x:v>تصنيف الجمع</x:v>
      </x:c>
      <x:c r="G5" s="21" t="str">
        <x:v>يرتبط بماذا</x:v>
      </x:c>
      <x:c r="H5" s="21" t="str">
        <x:v>المصدر/التصنيف</x:v>
      </x:c>
      <x:c r="I5" s="21" t="str">
        <x:v>الحالة</x:v>
      </x:c>
    </x:row>
    <x:row r="6" ht="43" customHeight="1">
      <x:c r="A6" s="28" t="str">
        <x:v>C01</x:v>
      </x:c>
      <x:c r="B6" s="28" t="str">
        <x:v>Apollo 15</x:v>
      </x:c>
      <x:c r="C6" s="28" t="str">
        <x:v>سجل نظام الحركة</x:v>
      </x:c>
      <x:c r="D6" s="28" t="str">
        <x:v>قمر/قرب المركبة</x:v>
      </x:c>
      <x:c r="E6" s="28" t="str">
        <x:v>شرح كيف حملت المركبة طاقمًا ومعدات</x:v>
      </x:c>
      <x:c r="F6" s="28" t="str">
        <x:v>أساسي</x:v>
      </x:c>
      <x:c r="G6" s="28" t="str">
        <x:v>PZ03</x:v>
      </x:c>
      <x:c r="H6" s="28" t="str">
        <x:v>S05</x:v>
      </x:c>
      <x:c r="I6" s="28" t="str">
        <x:v>موجود حاليًا</x:v>
      </x:c>
    </x:row>
    <x:row r="7" ht="43" customHeight="1">
      <x:c r="A7" s="28" t="str">
        <x:v>C02</x:v>
      </x:c>
      <x:c r="B7" s="28" t="str">
        <x:v>Apollo 15</x:v>
      </x:c>
      <x:c r="C7" s="28" t="str">
        <x:v>سجل أدوات البحث</x:v>
      </x:c>
      <x:c r="D7" s="28" t="str">
        <x:v>قمر/منارة شرقية</x:v>
      </x:c>
      <x:c r="E7" s="28" t="str">
        <x:v>يؤسس صلة الحركة بالعينات</x:v>
      </x:c>
      <x:c r="F7" s="28" t="str">
        <x:v>أساسي</x:v>
      </x:c>
      <x:c r="G7" s="28" t="str">
        <x:v>PZ03</x:v>
      </x:c>
      <x:c r="H7" s="28" t="str">
        <x:v>S06</x:v>
      </x:c>
      <x:c r="I7" s="28" t="str">
        <x:v>موجود حاليًا</x:v>
      </x:c>
    </x:row>
    <x:row r="8" ht="43" customHeight="1">
      <x:c r="A8" s="28" t="str">
        <x:v>C03</x:v>
      </x:c>
      <x:c r="B8" s="28" t="str">
        <x:v>Apollo 15</x:v>
      </x:c>
      <x:c r="C8" s="28" t="str">
        <x:v>سجل سياق المهمة</x:v>
      </x:c>
      <x:c r="D8" s="28" t="str">
        <x:v>قمر/منارة شمالية</x:v>
      </x:c>
      <x:c r="E8" s="28" t="str">
        <x:v>المهمة أوسع من حركة بسيطة</x:v>
      </x:c>
      <x:c r="F8" s="28" t="str">
        <x:v>أساسي</x:v>
      </x:c>
      <x:c r="G8" s="28" t="str">
        <x:v>PZ03</x:v>
      </x:c>
      <x:c r="H8" s="28" t="str">
        <x:v>S32</x:v>
      </x:c>
      <x:c r="I8" s="28" t="str">
        <x:v>موجود حاليًا</x:v>
      </x:c>
    </x:row>
    <x:row r="9" ht="43" customHeight="1">
      <x:c r="A9" s="28" t="str">
        <x:v>C04</x:v>
      </x:c>
      <x:c r="B9" s="28" t="str">
        <x:v>Apollo 15</x:v>
      </x:c>
      <x:c r="C9" s="28" t="str">
        <x:v>دليل جيولوجي سري</x:v>
      </x:c>
      <x:c r="D9" s="28" t="str">
        <x:v>خارج المسار المباشر</x:v>
      </x:c>
      <x:c r="E9" s="28" t="str">
        <x:v>يكافئ الفضول دون عرقلة</x:v>
      </x:c>
      <x:c r="F9" s="28" t="str">
        <x:v>اختياري</x:v>
      </x:c>
      <x:c r="G9" s="28" t="str">
        <x:v>Museum</x:v>
      </x:c>
      <x:c r="H9" s="28" t="str">
        <x:v>S08</x:v>
      </x:c>
      <x:c r="I9" s="28" t="str">
        <x:v>موجود حاليًا</x:v>
      </x:c>
    </x:row>
    <x:row r="10" ht="43" customHeight="1">
      <x:c r="A10" s="28" t="str">
        <x:v>C05</x:v>
      </x:c>
      <x:c r="B10" s="28" t="str">
        <x:v>Apollo 15</x:v>
      </x:c>
      <x:c r="C10" s="28" t="str">
        <x:v>حزمة قياس 1</x:v>
      </x:c>
      <x:c r="D10" s="28" t="str">
        <x:v>مسار آمن/مختصر</x:v>
      </x:c>
      <x:c r="E10" s="28" t="str">
        <x:v>تغذي نشاط التصنيف</x:v>
      </x:c>
      <x:c r="F10" s="28" t="str">
        <x:v>أساسي</x:v>
      </x:c>
      <x:c r="G10" s="28" t="str">
        <x:v>PZ07</x:v>
      </x:c>
      <x:c r="H10" s="28" t="str">
        <x:v>S05</x:v>
      </x:c>
      <x:c r="I10" s="28" t="str">
        <x:v>موجود حاليًا</x:v>
      </x:c>
    </x:row>
    <x:row r="11" ht="43" customHeight="1">
      <x:c r="A11" s="28" t="str">
        <x:v>C06</x:v>
      </x:c>
      <x:c r="B11" s="28" t="str">
        <x:v>Apollo 15</x:v>
      </x:c>
      <x:c r="C11" s="28" t="str">
        <x:v>حزمة قياس 2</x:v>
      </x:c>
      <x:c r="D11" s="28" t="str">
        <x:v>تضاريس قمرية</x:v>
      </x:c>
      <x:c r="E11" s="28" t="str">
        <x:v>تغذي نشاط التصنيف</x:v>
      </x:c>
      <x:c r="F11" s="28" t="str">
        <x:v>أساسي</x:v>
      </x:c>
      <x:c r="G11" s="28" t="str">
        <x:v>PZ07</x:v>
      </x:c>
      <x:c r="H11" s="28" t="str">
        <x:v>S05</x:v>
      </x:c>
      <x:c r="I11" s="28" t="str">
        <x:v>موجود حاليًا</x:v>
      </x:c>
    </x:row>
    <x:row r="12" ht="43" customHeight="1">
      <x:c r="A12" s="28" t="str">
        <x:v>C07</x:v>
      </x:c>
      <x:c r="B12" s="28" t="str">
        <x:v>Apollo 15</x:v>
      </x:c>
      <x:c r="C12" s="28" t="str">
        <x:v>حزمة قياس 3</x:v>
      </x:c>
      <x:c r="D12" s="28" t="str">
        <x:v>قرب منارة النهاية</x:v>
      </x:c>
      <x:c r="E12" s="28" t="str">
        <x:v>تغذي نشاط التصنيف</x:v>
      </x:c>
      <x:c r="F12" s="28" t="str">
        <x:v>أساسي</x:v>
      </x:c>
      <x:c r="G12" s="28" t="str">
        <x:v>PZ07</x:v>
      </x:c>
      <x:c r="H12" s="28" t="str">
        <x:v>S05</x:v>
      </x:c>
      <x:c r="I12" s="28" t="str">
        <x:v>موجود حاليًا</x:v>
      </x:c>
    </x:row>
    <x:row r="13" ht="43" customHeight="1">
      <x:c r="A13" s="28" t="str">
        <x:v>C08</x:v>
      </x:c>
      <x:c r="B13" s="28" t="str">
        <x:v>Apollo 15</x:v>
      </x:c>
      <x:c r="C13" s="28" t="str">
        <x:v>سجل مسافة اختيار المسار</x:v>
      </x:c>
      <x:c r="D13" s="28" t="str">
        <x:v>لوحة الخريطة</x:v>
      </x:c>
      <x:c r="E13" s="28" t="str">
        <x:v>يبين تكلفة التنقل</x:v>
      </x:c>
      <x:c r="F13" s="28" t="str">
        <x:v>أساسي</x:v>
      </x:c>
      <x:c r="G13" s="28" t="str">
        <x:v>PZ08</x:v>
      </x:c>
      <x:c r="H13" s="28" t="str">
        <x:v>محاكاة افتراضية</x:v>
      </x:c>
      <x:c r="I13" s="28" t="str">
        <x:v>موجود حاليًا</x:v>
      </x:c>
    </x:row>
    <x:row r="14" ht="43" customHeight="1">
      <x:c r="A14" s="28" t="str">
        <x:v>C09</x:v>
      </x:c>
      <x:c r="B14" s="28" t="str">
        <x:v>Apollo 15</x:v>
      </x:c>
      <x:c r="C14" s="28" t="str">
        <x:v>نتيجة زمن النقل</x:v>
      </x:c>
      <x:c r="D14" s="28" t="str">
        <x:v>مختبر الحسبة</x:v>
      </x:c>
      <x:c r="E14" s="28" t="str">
        <x:v>جزء من الاستنتاج</x:v>
      </x:c>
      <x:c r="F14" s="28" t="str">
        <x:v>أساسي</x:v>
      </x:c>
      <x:c r="G14" s="28" t="str">
        <x:v>PZ09</x:v>
      </x:c>
      <x:c r="H14" s="28" t="str">
        <x:v>محاكاة افتراضية</x:v>
      </x:c>
      <x:c r="I14" s="28" t="str">
        <x:v>موجود حاليًا</x:v>
      </x:c>
    </x:row>
    <x:row r="15" ht="43" customHeight="1">
      <x:c r="A15" s="28" t="str">
        <x:v>C10</x:v>
      </x:c>
      <x:c r="B15" s="28" t="str">
        <x:v>Apollo 15</x:v>
      </x:c>
      <x:c r="C15" s="28" t="str">
        <x:v>تذكار المحرك</x:v>
      </x:c>
      <x:c r="D15" s="28" t="str">
        <x:v>معرض الإرث</x:v>
      </x:c>
      <x:c r="E15" s="28" t="str">
        <x:v>تجسيد التقدم</x:v>
      </x:c>
      <x:c r="F15" s="28" t="str">
        <x:v>مكافأة</x:v>
      </x:c>
      <x:c r="G15" s="28" t="str">
        <x:v>Museum</x:v>
      </x:c>
      <x:c r="H15" s="28" t="str">
        <x:v>S05</x:v>
      </x:c>
      <x:c r="I15" s="28" t="str">
        <x:v>موجود حاليًا</x:v>
      </x:c>
    </x:row>
    <x:row r="16" ht="43" customHeight="1">
      <x:c r="A16" s="28" t="str">
        <x:v>C11</x:v>
      </x:c>
      <x:c r="B16" s="28" t="str">
        <x:v>Opportunity</x:v>
      </x:c>
      <x:c r="C16" s="28" t="str">
        <x:v>رصيد الطاقة Sol 1</x:v>
      </x:c>
      <x:c r="D16" s="28" t="str">
        <x:v>لوحة الطاقة</x:v>
      </x:c>
      <x:c r="E16" s="28" t="str">
        <x:v>قرار الطاقة يبدأ اليوم التالي</x:v>
      </x:c>
      <x:c r="F16" s="28" t="str">
        <x:v>أساسي</x:v>
      </x:c>
      <x:c r="G16" s="28" t="str">
        <x:v>PZ11</x:v>
      </x:c>
      <x:c r="H16" s="28" t="str">
        <x:v>محاكاة افتراضية</x:v>
      </x:c>
      <x:c r="I16" s="28" t="str">
        <x:v>موجود حاليًا</x:v>
      </x:c>
    </x:row>
    <x:row r="17" ht="43" customHeight="1">
      <x:c r="A17" s="28" t="str">
        <x:v>C12</x:v>
      </x:c>
      <x:c r="B17" s="28" t="str">
        <x:v>Opportunity</x:v>
      </x:c>
      <x:c r="C17" s="28" t="str">
        <x:v>رصيد الطاقة Sol 2</x:v>
      </x:c>
      <x:c r="D17" s="28" t="str">
        <x:v>لوحة الطاقة</x:v>
      </x:c>
      <x:c r="E17" s="28" t="str">
        <x:v>فهم التراكم عبر الأيام</x:v>
      </x:c>
      <x:c r="F17" s="28" t="str">
        <x:v>أساسي</x:v>
      </x:c>
      <x:c r="G17" s="28" t="str">
        <x:v>PZ12</x:v>
      </x:c>
      <x:c r="H17" s="28" t="str">
        <x:v>محاكاة افتراضية</x:v>
      </x:c>
      <x:c r="I17" s="28" t="str">
        <x:v>موجود حاليًا</x:v>
      </x:c>
    </x:row>
    <x:row r="18" ht="43" customHeight="1">
      <x:c r="A18" s="28" t="str">
        <x:v>C13</x:v>
      </x:c>
      <x:c r="B18" s="28" t="str">
        <x:v>Opportunity</x:v>
      </x:c>
      <x:c r="C18" s="28" t="str">
        <x:v>معامل غبار Sol 3</x:v>
      </x:c>
      <x:c r="D18" s="28" t="str">
        <x:v>لوحة الطاقة</x:v>
      </x:c>
      <x:c r="E18" s="28" t="str">
        <x:v>تأثير الغبار في التوليد</x:v>
      </x:c>
      <x:c r="F18" s="28" t="str">
        <x:v>أساسي</x:v>
      </x:c>
      <x:c r="G18" s="28" t="str">
        <x:v>PZ13</x:v>
      </x:c>
      <x:c r="H18" s="28" t="str">
        <x:v>S25</x:v>
      </x:c>
      <x:c r="I18" s="28" t="str">
        <x:v>موجود حاليًا</x:v>
      </x:c>
    </x:row>
    <x:row r="19" ht="43" customHeight="1">
      <x:c r="A19" s="28" t="str">
        <x:v>C14</x:v>
      </x:c>
      <x:c r="B19" s="28" t="str">
        <x:v>Opportunity</x:v>
      </x:c>
      <x:c r="C19" s="28" t="str">
        <x:v>سجل اتصال Sol 4</x:v>
      </x:c>
      <x:c r="D19" s="28" t="str">
        <x:v>لوحة الطاقة</x:v>
      </x:c>
      <x:c r="E19" s="28" t="str">
        <x:v>إبقاء الاحتياطي</x:v>
      </x:c>
      <x:c r="F19" s="28" t="str">
        <x:v>أساسي</x:v>
      </x:c>
      <x:c r="G19" s="28" t="str">
        <x:v>PZ14</x:v>
      </x:c>
      <x:c r="H19" s="28" t="str">
        <x:v>محاكاة افتراضية</x:v>
      </x:c>
      <x:c r="I19" s="28" t="str">
        <x:v>موجود حاليًا</x:v>
      </x:c>
    </x:row>
    <x:row r="20" ht="43" customHeight="1">
      <x:c r="A20" s="28" t="str">
        <x:v>C15</x:v>
      </x:c>
      <x:c r="B20" s="28" t="str">
        <x:v>Opportunity</x:v>
      </x:c>
      <x:c r="C20" s="28" t="str">
        <x:v>مفتاح شفرة من النتائج</x:v>
      </x:c>
      <x:c r="D20" s="28" t="str">
        <x:v>لوحة الاتصالات</x:v>
      </x:c>
      <x:c r="E20" s="28" t="str">
        <x:v>إكمال السرد</x:v>
      </x:c>
      <x:c r="F20" s="28" t="str">
        <x:v>أساسي</x:v>
      </x:c>
      <x:c r="G20" s="28" t="str">
        <x:v>Museum</x:v>
      </x:c>
      <x:c r="H20" s="28" t="str">
        <x:v>محاكاة افتراضية</x:v>
      </x:c>
      <x:c r="I20" s="28" t="str">
        <x:v>موجود حاليًا</x:v>
      </x:c>
    </x:row>
    <x:row r="21" ht="43" customHeight="1">
      <x:c r="A21" s="28" t="str">
        <x:v>C16</x:v>
      </x:c>
      <x:c r="B21" s="28" t="str">
        <x:v>Opportunity</x:v>
      </x:c>
      <x:c r="C21" s="28" t="str">
        <x:v>صورة آخر الإشارة</x:v>
      </x:c>
      <x:c r="D21" s="28" t="str">
        <x:v>متحف المريخ</x:v>
      </x:c>
      <x:c r="E21" s="28" t="str">
        <x:v>تاريخ 2018 وليس رسالة ناطقة</x:v>
      </x:c>
      <x:c r="F21" s="28" t="str">
        <x:v>معلومة</x:v>
      </x:c>
      <x:c r="G21" s="28" t="str">
        <x:v>Museum</x:v>
      </x:c>
      <x:c r="H21" s="28" t="str">
        <x:v>S12</x:v>
      </x:c>
      <x:c r="I21" s="28" t="str">
        <x:v>موجود حاليًا</x:v>
      </x:c>
    </x:row>
    <x:row r="22" ht="43" customHeight="1">
      <x:c r="A22" s="28" t="str">
        <x:v>C17</x:v>
      </x:c>
      <x:c r="B22" s="28" t="str">
        <x:v>InSight</x:v>
      </x:c>
      <x:c r="C22" s="28" t="str">
        <x:v>موجة SEIS أولى</x:v>
      </x:c>
      <x:c r="D22" s="28" t="str">
        <x:v>مستقبلي/سطح المريخ</x:v>
      </x:c>
      <x:c r="E22" s="28" t="str">
        <x:v>قصة أجهزة قياس الزلازل</x:v>
      </x:c>
      <x:c r="F22" s="28" t="str">
        <x:v>مستقبلي</x:v>
      </x:c>
      <x:c r="G22" s="28" t="str">
        <x:v>PZ25</x:v>
      </x:c>
      <x:c r="H22" s="28" t="str">
        <x:v>S11</x:v>
      </x:c>
      <x:c r="I22" s="28" t="str">
        <x:v>مخطط</x:v>
      </x:c>
    </x:row>
    <x:row r="23" ht="43" customHeight="1">
      <x:c r="A23" s="28" t="str">
        <x:v>C18</x:v>
      </x:c>
      <x:c r="B23" s="28" t="str">
        <x:v>Spirit</x:v>
      </x:c>
      <x:c r="C23" s="28" t="str">
        <x:v>خريطة الجر</x:v>
      </x:c>
      <x:c r="D23" s="28" t="str">
        <x:v>مستقبلي/مسار الرمال</x:v>
      </x:c>
      <x:c r="E23" s="28" t="str">
        <x:v>رصد الارتباط بالتضاريس</x:v>
      </x:c>
      <x:c r="F23" s="28" t="str">
        <x:v>مستقبلي</x:v>
      </x:c>
      <x:c r="G23" s="28" t="str">
        <x:v>PZ27</x:v>
      </x:c>
      <x:c r="H23" s="28" t="str">
        <x:v>مطلوب مصدر</x:v>
      </x:c>
      <x:c r="I23" s="28" t="str">
        <x:v>مخطط</x:v>
      </x:c>
    </x:row>
    <x:row r="24" ht="43" customHeight="1">
      <x:c r="A24" s="28" t="str">
        <x:v>C19</x:v>
      </x:c>
      <x:c r="B24" s="28" t="str">
        <x:v>Phoenix</x:v>
      </x:c>
      <x:c r="C24" s="28" t="str">
        <x:v>بطاقة جليد مائي</x:v>
      </x:c>
      <x:c r="D24" s="28" t="str">
        <x:v>مستقبلي/حفرة</x:v>
      </x:c>
      <x:c r="E24" s="28" t="str">
        <x:v>قصة تربة المريخ</x:v>
      </x:c>
      <x:c r="F24" s="28" t="str">
        <x:v>مستقبلي</x:v>
      </x:c>
      <x:c r="G24" s="28" t="str">
        <x:v>PZ28</x:v>
      </x:c>
      <x:c r="H24" s="28" t="str">
        <x:v>مطلوب مصدر</x:v>
      </x:c>
      <x:c r="I24" s="28" t="str">
        <x:v>مخطط</x:v>
      </x:c>
    </x:row>
    <x:row r="25" ht="43" customHeight="1">
      <x:c r="A25" s="28" t="str">
        <x:v>C20</x:v>
      </x:c>
      <x:c r="B25" s="28" t="str">
        <x:v>Apollo 17</x:v>
      </x:c>
      <x:c r="C25" s="28" t="str">
        <x:v>سجل المقارنة</x:v>
      </x:c>
      <x:c r="D25" s="28" t="str">
        <x:v>مستقبلي/خريطة</x:v>
      </x:c>
      <x:c r="E25" s="28" t="str">
        <x:v>مقارنة المركبات</x:v>
      </x:c>
      <x:c r="F25" s="28" t="str">
        <x:v>مستقبلي</x:v>
      </x:c>
      <x:c r="G25" s="28" t="str">
        <x:v>PZ29</x:v>
      </x:c>
      <x:c r="H25" s="28" t="str">
        <x:v>S05</x:v>
      </x:c>
      <x:c r="I25" s="28" t="str">
        <x:v>مخطط</x:v>
      </x:c>
    </x:row>
    <x:row r="26" ht="43" customHeight="1">
      <x:c r="A26" s="28" t="str">
        <x:v>C21</x:v>
      </x:c>
      <x:c r="B26" s="28" t="str">
        <x:v>متحف/مستقبلي</x:v>
      </x:c>
      <x:c r="C26" s="28" t="str">
        <x:v>مجسم توثيق 1</x:v>
      </x:c>
      <x:c r="D26" s="28" t="str">
        <x:v>معرض اختياري</x:v>
      </x:c>
      <x:c r="E26" s="28" t="str">
        <x:v>قيمة ثقافية بعد استخراج دليل موثق</x:v>
      </x:c>
      <x:c r="F26" s="28" t="str">
        <x:v>اختياري</x:v>
      </x:c>
      <x:c r="G26" s="28" t="str">
        <x:v>PZ35</x:v>
      </x:c>
      <x:c r="H26" s="28" t="str">
        <x:v>يحتاج مصدر</x:v>
      </x:c>
      <x:c r="I26" s="28" t="str">
        <x:v>مخطط</x:v>
      </x:c>
    </x:row>
    <x:row r="27" ht="43" customHeight="1">
      <x:c r="A27" s="28" t="str">
        <x:v>C22</x:v>
      </x:c>
      <x:c r="B27" s="28" t="str">
        <x:v>متحف/مستقبلي</x:v>
      </x:c>
      <x:c r="C27" s="28" t="str">
        <x:v>أثر خريطة 2</x:v>
      </x:c>
      <x:c r="D27" s="28" t="str">
        <x:v>معرض اختياري</x:v>
      </x:c>
      <x:c r="E27" s="28" t="str">
        <x:v>قيمة ثقافية بعد استخراج دليل موثق</x:v>
      </x:c>
      <x:c r="F27" s="28" t="str">
        <x:v>اختياري</x:v>
      </x:c>
      <x:c r="G27" s="28" t="str">
        <x:v>PZ35</x:v>
      </x:c>
      <x:c r="H27" s="28" t="str">
        <x:v>يحتاج مصدر</x:v>
      </x:c>
      <x:c r="I27" s="28" t="str">
        <x:v>مخطط</x:v>
      </x:c>
    </x:row>
    <x:row r="28" ht="43" customHeight="1">
      <x:c r="A28" s="28" t="str">
        <x:v>C23</x:v>
      </x:c>
      <x:c r="B28" s="28" t="str">
        <x:v>متحف/مستقبلي</x:v>
      </x:c>
      <x:c r="C28" s="28" t="str">
        <x:v>مجسم توثيق 3</x:v>
      </x:c>
      <x:c r="D28" s="28" t="str">
        <x:v>معرض اختياري</x:v>
      </x:c>
      <x:c r="E28" s="28" t="str">
        <x:v>قيمة ثقافية بعد استخراج دليل موثق</x:v>
      </x:c>
      <x:c r="F28" s="28" t="str">
        <x:v>اختياري</x:v>
      </x:c>
      <x:c r="G28" s="28" t="str">
        <x:v>PZ35</x:v>
      </x:c>
      <x:c r="H28" s="28" t="str">
        <x:v>يحتاج مصدر</x:v>
      </x:c>
      <x:c r="I28" s="28" t="str">
        <x:v>مخطط</x:v>
      </x:c>
    </x:row>
    <x:row r="29" ht="43" customHeight="1">
      <x:c r="A29" s="28" t="str">
        <x:v>C24</x:v>
      </x:c>
      <x:c r="B29" s="28" t="str">
        <x:v>متحف/مستقبلي</x:v>
      </x:c>
      <x:c r="C29" s="28" t="str">
        <x:v>أثر خريطة 4</x:v>
      </x:c>
      <x:c r="D29" s="28" t="str">
        <x:v>معرض اختياري</x:v>
      </x:c>
      <x:c r="E29" s="28" t="str">
        <x:v>قيمة ثقافية بعد استخراج دليل موثق</x:v>
      </x:c>
      <x:c r="F29" s="28" t="str">
        <x:v>اختياري</x:v>
      </x:c>
      <x:c r="G29" s="28" t="str">
        <x:v>PZ35</x:v>
      </x:c>
      <x:c r="H29" s="28" t="str">
        <x:v>يحتاج مصدر</x:v>
      </x:c>
      <x:c r="I29" s="28" t="str">
        <x:v>مخطط</x:v>
      </x:c>
    </x:row>
    <x:row r="30" ht="43" customHeight="1">
      <x:c r="A30" s="28" t="str">
        <x:v>C25</x:v>
      </x:c>
      <x:c r="B30" s="28" t="str">
        <x:v>متحف/مستقبلي</x:v>
      </x:c>
      <x:c r="C30" s="28" t="str">
        <x:v>مجسم توثيق 5</x:v>
      </x:c>
      <x:c r="D30" s="28" t="str">
        <x:v>معرض اختياري</x:v>
      </x:c>
      <x:c r="E30" s="28" t="str">
        <x:v>قيمة ثقافية بعد استخراج دليل موثق</x:v>
      </x:c>
      <x:c r="F30" s="28" t="str">
        <x:v>اختياري</x:v>
      </x:c>
      <x:c r="G30" s="28" t="str">
        <x:v>PZ35</x:v>
      </x:c>
      <x:c r="H30" s="28" t="str">
        <x:v>يحتاج مصدر</x:v>
      </x:c>
      <x:c r="I30" s="28" t="str">
        <x:v>مخطط</x:v>
      </x:c>
    </x:row>
    <x:row r="31" ht="43" customHeight="1">
      <x:c r="A31" s="28" t="str">
        <x:v>C26</x:v>
      </x:c>
      <x:c r="B31" s="28" t="str">
        <x:v>متحف/مستقبلي</x:v>
      </x:c>
      <x:c r="C31" s="28" t="str">
        <x:v>أثر خريطة 6</x:v>
      </x:c>
      <x:c r="D31" s="28" t="str">
        <x:v>معرض اختياري</x:v>
      </x:c>
      <x:c r="E31" s="28" t="str">
        <x:v>قيمة ثقافية بعد استخراج دليل موثق</x:v>
      </x:c>
      <x:c r="F31" s="28" t="str">
        <x:v>اختياري</x:v>
      </x:c>
      <x:c r="G31" s="28" t="str">
        <x:v>PZ35</x:v>
      </x:c>
      <x:c r="H31" s="28" t="str">
        <x:v>يحتاج مصدر</x:v>
      </x:c>
      <x:c r="I31" s="28" t="str">
        <x:v>مخطط</x:v>
      </x:c>
    </x:row>
    <x:row r="32" ht="43" customHeight="1">
      <x:c r="A32" s="28" t="str">
        <x:v>C27</x:v>
      </x:c>
      <x:c r="B32" s="28" t="str">
        <x:v>متحف/مستقبلي</x:v>
      </x:c>
      <x:c r="C32" s="28" t="str">
        <x:v>مجسم توثيق 7</x:v>
      </x:c>
      <x:c r="D32" s="28" t="str">
        <x:v>معرض اختياري</x:v>
      </x:c>
      <x:c r="E32" s="28" t="str">
        <x:v>قيمة ثقافية بعد استخراج دليل موثق</x:v>
      </x:c>
      <x:c r="F32" s="28" t="str">
        <x:v>اختياري</x:v>
      </x:c>
      <x:c r="G32" s="28" t="str">
        <x:v>PZ35</x:v>
      </x:c>
      <x:c r="H32" s="28" t="str">
        <x:v>يحتاج مصدر</x:v>
      </x:c>
      <x:c r="I32" s="28" t="str">
        <x:v>مخطط</x:v>
      </x:c>
    </x:row>
    <x:row r="33" ht="43" customHeight="1">
      <x:c r="A33" s="28" t="str">
        <x:v>C28</x:v>
      </x:c>
      <x:c r="B33" s="28" t="str">
        <x:v>متحف/مستقبلي</x:v>
      </x:c>
      <x:c r="C33" s="28" t="str">
        <x:v>أثر خريطة 8</x:v>
      </x:c>
      <x:c r="D33" s="28" t="str">
        <x:v>معرض اختياري</x:v>
      </x:c>
      <x:c r="E33" s="28" t="str">
        <x:v>قيمة ثقافية بعد استخراج دليل موثق</x:v>
      </x:c>
      <x:c r="F33" s="28" t="str">
        <x:v>اختياري</x:v>
      </x:c>
      <x:c r="G33" s="28" t="str">
        <x:v>PZ35</x:v>
      </x:c>
      <x:c r="H33" s="28" t="str">
        <x:v>يحتاج مصدر</x:v>
      </x:c>
      <x:c r="I33" s="28" t="str">
        <x:v>مخطط</x:v>
      </x:c>
    </x:row>
    <x:row r="34" ht="43" customHeight="1">
      <x:c r="A34" s="28" t="str">
        <x:v>C29</x:v>
      </x:c>
      <x:c r="B34" s="28" t="str">
        <x:v>متحف/مستقبلي</x:v>
      </x:c>
      <x:c r="C34" s="28" t="str">
        <x:v>مجسم توثيق 9</x:v>
      </x:c>
      <x:c r="D34" s="28" t="str">
        <x:v>معرض اختياري</x:v>
      </x:c>
      <x:c r="E34" s="28" t="str">
        <x:v>قيمة ثقافية بعد استخراج دليل موثق</x:v>
      </x:c>
      <x:c r="F34" s="28" t="str">
        <x:v>اختياري</x:v>
      </x:c>
      <x:c r="G34" s="28" t="str">
        <x:v>PZ35</x:v>
      </x:c>
      <x:c r="H34" s="28" t="str">
        <x:v>يحتاج مصدر</x:v>
      </x:c>
      <x:c r="I34" s="28" t="str">
        <x:v>مخطط</x:v>
      </x:c>
    </x:row>
    <x:row r="35" ht="43" customHeight="1">
      <x:c r="A35" s="28" t="str">
        <x:v>C30</x:v>
      </x:c>
      <x:c r="B35" s="28" t="str">
        <x:v>متحف/مستقبلي</x:v>
      </x:c>
      <x:c r="C35" s="28" t="str">
        <x:v>أثر خريطة 10</x:v>
      </x:c>
      <x:c r="D35" s="28" t="str">
        <x:v>معرض اختياري</x:v>
      </x:c>
      <x:c r="E35" s="28" t="str">
        <x:v>قيمة ثقافية بعد استخراج دليل موثق</x:v>
      </x:c>
      <x:c r="F35" s="28" t="str">
        <x:v>اختياري</x:v>
      </x:c>
      <x:c r="G35" s="28" t="str">
        <x:v>PZ35</x:v>
      </x:c>
      <x:c r="H35" s="28" t="str">
        <x:v>يحتاج مصدر</x:v>
      </x:c>
      <x:c r="I35" s="28" t="str">
        <x:v>مخطط</x:v>
      </x:c>
    </x:row>
    <x:row r="36" ht="43" customHeight="1">
      <x:c r="A36" s="28" t="str">
        <x:v>C31</x:v>
      </x:c>
      <x:c r="B36" s="28" t="str">
        <x:v>متحف/مستقبلي</x:v>
      </x:c>
      <x:c r="C36" s="28" t="str">
        <x:v>مجسم توثيق 11</x:v>
      </x:c>
      <x:c r="D36" s="28" t="str">
        <x:v>معرض اختياري</x:v>
      </x:c>
      <x:c r="E36" s="28" t="str">
        <x:v>قيمة ثقافية بعد استخراج دليل موثق</x:v>
      </x:c>
      <x:c r="F36" s="28" t="str">
        <x:v>اختياري</x:v>
      </x:c>
      <x:c r="G36" s="28" t="str">
        <x:v>PZ35</x:v>
      </x:c>
      <x:c r="H36" s="28" t="str">
        <x:v>يحتاج مصدر</x:v>
      </x:c>
      <x:c r="I36" s="28" t="str">
        <x:v>مخطط</x:v>
      </x:c>
    </x:row>
    <x:row r="37" ht="43" customHeight="1">
      <x:c r="A37" s="28" t="str">
        <x:v>C32</x:v>
      </x:c>
      <x:c r="B37" s="28" t="str">
        <x:v>متحف/مستقبلي</x:v>
      </x:c>
      <x:c r="C37" s="28" t="str">
        <x:v>أثر خريطة 12</x:v>
      </x:c>
      <x:c r="D37" s="28" t="str">
        <x:v>معرض اختياري</x:v>
      </x:c>
      <x:c r="E37" s="28" t="str">
        <x:v>قيمة ثقافية بعد استخراج دليل موثق</x:v>
      </x:c>
      <x:c r="F37" s="28" t="str">
        <x:v>اختياري</x:v>
      </x:c>
      <x:c r="G37" s="28" t="str">
        <x:v>PZ35</x:v>
      </x:c>
      <x:c r="H37" s="28" t="str">
        <x:v>يحتاج مصدر</x:v>
      </x:c>
      <x:c r="I37" s="28" t="str">
        <x:v>مخطط</x:v>
      </x:c>
    </x:row>
    <x:row r="38" ht="43" customHeight="1">
      <x:c r="A38" s="28" t="str">
        <x:v>C33</x:v>
      </x:c>
      <x:c r="B38" s="28" t="str">
        <x:v>متحف/مستقبلي</x:v>
      </x:c>
      <x:c r="C38" s="28" t="str">
        <x:v>مجسم توثيق 13</x:v>
      </x:c>
      <x:c r="D38" s="28" t="str">
        <x:v>معرض اختياري</x:v>
      </x:c>
      <x:c r="E38" s="28" t="str">
        <x:v>قيمة ثقافية بعد استخراج دليل موثق</x:v>
      </x:c>
      <x:c r="F38" s="28" t="str">
        <x:v>اختياري</x:v>
      </x:c>
      <x:c r="G38" s="28" t="str">
        <x:v>PZ35</x:v>
      </x:c>
      <x:c r="H38" s="28" t="str">
        <x:v>يحتاج مصدر</x:v>
      </x:c>
      <x:c r="I38" s="28" t="str">
        <x:v>مخطط</x:v>
      </x:c>
    </x:row>
    <x:row r="39" ht="43" customHeight="1">
      <x:c r="A39" s="28" t="str">
        <x:v>C34</x:v>
      </x:c>
      <x:c r="B39" s="28" t="str">
        <x:v>متحف/مستقبلي</x:v>
      </x:c>
      <x:c r="C39" s="28" t="str">
        <x:v>أثر خريطة 14</x:v>
      </x:c>
      <x:c r="D39" s="28" t="str">
        <x:v>معرض اختياري</x:v>
      </x:c>
      <x:c r="E39" s="28" t="str">
        <x:v>قيمة ثقافية بعد استخراج دليل موثق</x:v>
      </x:c>
      <x:c r="F39" s="28" t="str">
        <x:v>اختياري</x:v>
      </x:c>
      <x:c r="G39" s="28" t="str">
        <x:v>PZ35</x:v>
      </x:c>
      <x:c r="H39" s="28" t="str">
        <x:v>يحتاج مصدر</x:v>
      </x:c>
      <x:c r="I39" s="28" t="str">
        <x:v>مخطط</x:v>
      </x:c>
    </x:row>
    <x:row r="40" ht="43" customHeight="1">
      <x:c r="A40" s="28" t="str">
        <x:v>C35</x:v>
      </x:c>
      <x:c r="B40" s="28" t="str">
        <x:v>متحف/مستقبلي</x:v>
      </x:c>
      <x:c r="C40" s="28" t="str">
        <x:v>مجسم توثيق 15</x:v>
      </x:c>
      <x:c r="D40" s="28" t="str">
        <x:v>معرض اختياري</x:v>
      </x:c>
      <x:c r="E40" s="28" t="str">
        <x:v>قيمة ثقافية بعد استخراج دليل موثق</x:v>
      </x:c>
      <x:c r="F40" s="28" t="str">
        <x:v>اختياري</x:v>
      </x:c>
      <x:c r="G40" s="28" t="str">
        <x:v>PZ35</x:v>
      </x:c>
      <x:c r="H40" s="28" t="str">
        <x:v>يحتاج مصدر</x:v>
      </x:c>
      <x:c r="I40" s="28" t="str">
        <x:v>مخطط</x:v>
      </x:c>
    </x:row>
    <x:row r="41" ht="43" customHeight="1">
      <x:c r="A41" s="28" t="str">
        <x:v>C36</x:v>
      </x:c>
      <x:c r="B41" s="28" t="str">
        <x:v>متحف/مستقبلي</x:v>
      </x:c>
      <x:c r="C41" s="28" t="str">
        <x:v>أثر خريطة 16</x:v>
      </x:c>
      <x:c r="D41" s="28" t="str">
        <x:v>معرض اختياري</x:v>
      </x:c>
      <x:c r="E41" s="28" t="str">
        <x:v>قيمة ثقافية بعد استخراج دليل موثق</x:v>
      </x:c>
      <x:c r="F41" s="28" t="str">
        <x:v>اختياري</x:v>
      </x:c>
      <x:c r="G41" s="28" t="str">
        <x:v>PZ35</x:v>
      </x:c>
      <x:c r="H41" s="28" t="str">
        <x:v>يحتاج مصدر</x:v>
      </x:c>
      <x:c r="I41" s="28" t="str">
        <x:v>مخطط</x:v>
      </x:c>
    </x:row>
  </x:sheetData>
  <x:mergeCells>
    <x:mergeCell ref="A1:I1"/>
    <x:mergeCell ref="A2:I2"/>
    <x:mergeCell ref="A3:I3"/>
  </x:mergeCells>
  <x:conditionalFormatting sqref="I6:I41">
    <x:cfRule type="expression" dxfId="27" priority="1">
      <x:formula>I6="مكتمل"</x:formula>
    </x:cfRule>
    <x:cfRule type="expression" dxfId="28" priority="2">
      <x:formula>I6="محظور حتى التحقق"</x:formula>
    </x:cfRule>
    <x:cfRule type="expression" dxfId="29" priority="3">
      <x:formula>I6="يحتاج تحقق"</x:formula>
    </x:cfRule>
  </x:conditionalFormatting>
  <x:dataValidations count="1">
    <x:dataValidation type="list" sqref="I6:I41">
      <x:formula1>"موجود حاليًا,قيد التطوير,مخطط,يحتاج تحقق,مكتمل,لم يبدأ,مؤجل,محظور حتى التحقق,غير منطبق"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5" hidden="0" customWidth="1"/>
    <x:col min="3" max="3" width="19" hidden="0" customWidth="1"/>
    <x:col min="4" max="4" width="16" hidden="0" customWidth="1"/>
    <x:col min="5" max="5" width="15" hidden="0" customWidth="1"/>
    <x:col min="6" max="6" width="64" hidden="0" customWidth="1"/>
    <x:col min="7" max="7" width="62" hidden="0" customWidth="1"/>
    <x:col min="8" max="8" width="59" hidden="0" customWidth="1"/>
    <x:col min="9" max="9" width="19" hidden="0" customWidth="1"/>
  </x:cols>
  <x:sheetData>
    <x:row r="1" ht="38" customHeight="1">
      <x:c r="A1" s="4" t="str">
        <x:v>النقاط والمكافآت</x:v>
      </x:c>
      <x:c r="B1" s="4"/>
      <x:c r="C1" s="4"/>
      <x:c r="D1" s="4"/>
      <x:c r="E1" s="4"/>
      <x:c r="F1" s="4"/>
      <x:c r="G1" s="4"/>
      <x:c r="H1" s="4"/>
      <x:c r="I1" s="4"/>
    </x:row>
    <x:row r="2" ht="29" customHeight="1">
      <x:c r="A2" s="10" t="str">
        <x:v>اقتصاد XP مقترح قابل للضبط؛ الأرقام هنا قواعد تصميم وليست معيار تحكيم NASA</x:v>
      </x:c>
      <x:c r="B2" s="10"/>
      <x:c r="C2" s="10"/>
      <x:c r="D2" s="10"/>
      <x:c r="E2" s="10"/>
      <x:c r="F2" s="10"/>
      <x:c r="G2" s="10"/>
      <x:c r="H2" s="10"/>
      <x:c r="I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  <x:c r="H3" s="15"/>
      <x:c r="I3" s="15"/>
    </x:row>
    <x:row r="5" ht="34" customHeight="1">
      <x:c r="A5" s="21" t="str">
        <x:v>ID</x:v>
      </x:c>
      <x:c r="B5" s="21" t="str">
        <x:v>الحدث</x:v>
      </x:c>
      <x:c r="C5" s="21" t="str">
        <x:v>الفصل</x:v>
      </x:c>
      <x:c r="D5" s="21" t="str">
        <x:v>XP للفعل</x:v>
      </x:c>
      <x:c r="E5" s="21" t="str">
        <x:v>الحد الأقصى</x:v>
      </x:c>
      <x:c r="F5" s="21" t="str">
        <x:v>شرط الاعتماد</x:v>
      </x:c>
      <x:c r="G5" s="21" t="str">
        <x:v>المكافأة البصرية</x:v>
      </x:c>
      <x:c r="H5" s="21" t="str">
        <x:v>ضد الاستغلال</x:v>
      </x:c>
      <x:c r="I5" s="21" t="str">
        <x:v>الحالة</x:v>
      </x:c>
    </x:row>
    <x:row r="6" ht="43" customHeight="1">
      <x:c r="A6" s="28" t="str">
        <x:v>XP01</x:v>
      </x:c>
      <x:c r="B6" s="28" t="str">
        <x:v>دليل أساسي</x:v>
      </x:c>
      <x:c r="C6" s="28" t="str">
        <x:v>القمر</x:v>
      </x:c>
      <x:c r="D6" s="28" t="n">
        <x:v>100</x:v>
      </x:c>
      <x:c r="E6" s="28" t="n">
        <x:v>3</x:v>
      </x:c>
      <x:c r="F6" s="28" t="str">
        <x:v>مرة واحدة لكل دليل</x:v>
      </x:c>
      <x:c r="G6" s="28" t="str">
        <x:v>سجل متحكم</x:v>
      </x:c>
      <x:c r="H6" s="28" t="str">
        <x:v>لا جمع مكرر</x:v>
      </x:c>
      <x:c r="I6" s="28" t="str">
        <x:v>موجود حاليًا</x:v>
      </x:c>
    </x:row>
    <x:row r="7" ht="43" customHeight="1">
      <x:c r="A7" s="28" t="str">
        <x:v>XP02</x:v>
      </x:c>
      <x:c r="B7" s="28" t="str">
        <x:v>دليل اختياري</x:v>
      </x:c>
      <x:c r="C7" s="28" t="str">
        <x:v>القمر</x:v>
      </x:c>
      <x:c r="D7" s="28" t="n">
        <x:v>150</x:v>
      </x:c>
      <x:c r="E7" s="28" t="n">
        <x:v>1</x:v>
      </x:c>
      <x:c r="F7" s="28" t="str">
        <x:v>مرة واحدة</x:v>
      </x:c>
      <x:c r="G7" s="28" t="str">
        <x:v>مكافأة البحث</x:v>
      </x:c>
      <x:c r="H7" s="28" t="str">
        <x:v>لا يجعل الفوز إلزاميًا</x:v>
      </x:c>
      <x:c r="I7" s="28" t="str">
        <x:v>موجود حاليًا</x:v>
      </x:c>
    </x:row>
    <x:row r="8" ht="43" customHeight="1">
      <x:c r="A8" s="28" t="str">
        <x:v>XP03</x:v>
      </x:c>
      <x:c r="B8" s="28" t="str">
        <x:v>إصلاح الدائرة</x:v>
      </x:c>
      <x:c r="C8" s="28" t="str">
        <x:v>القمر</x:v>
      </x:c>
      <x:c r="D8" s="28" t="n">
        <x:v>250</x:v>
      </x:c>
      <x:c r="E8" s="28" t="n">
        <x:v>1</x:v>
      </x:c>
      <x:c r="F8" s="28" t="str">
        <x:v>حسم اللغز</x:v>
      </x:c>
      <x:c r="G8" s="28" t="str">
        <x:v>تغير بيئة الأرشيف</x:v>
      </x:c>
      <x:c r="H8" s="28" t="str">
        <x:v>يعاقب خطأ صغير فقط</x:v>
      </x:c>
      <x:c r="I8" s="28" t="str">
        <x:v>موجود حاليًا</x:v>
      </x:c>
    </x:row>
    <x:row r="9" ht="43" customHeight="1">
      <x:c r="A9" s="28" t="str">
        <x:v>XP04</x:v>
      </x:c>
      <x:c r="B9" s="28" t="str">
        <x:v>ربط صحيح</x:v>
      </x:c>
      <x:c r="C9" s="28" t="str">
        <x:v>القمر</x:v>
      </x:c>
      <x:c r="D9" s="28" t="n">
        <x:v>150</x:v>
      </x:c>
      <x:c r="E9" s="28" t="n">
        <x:v>3</x:v>
      </x:c>
      <x:c r="F9" s="28" t="str">
        <x:v>مرة لكل رابط</x:v>
      </x:c>
      <x:c r="G9" s="28" t="str">
        <x:v>كشف العلاقة العلمية</x:v>
      </x:c>
      <x:c r="H9" s="28" t="str">
        <x:v>لا تحفظ XP بالنقر العشوائي</x:v>
      </x:c>
      <x:c r="I9" s="28" t="str">
        <x:v>موجود حاليًا</x:v>
      </x:c>
    </x:row>
    <x:row r="10" ht="43" customHeight="1">
      <x:c r="A10" s="28" t="str">
        <x:v>XP05</x:v>
      </x:c>
      <x:c r="B10" s="28" t="str">
        <x:v>ربط خاطئ</x:v>
      </x:c>
      <x:c r="C10" s="28" t="str">
        <x:v>القمر</x:v>
      </x:c>
      <x:c r="D10" s="28" t="n">
        <x:v>-25</x:v>
      </x:c>
      <x:c r="E10" s="28" t="n">
        <x:v>6</x:v>
      </x:c>
      <x:c r="F10" s="28" t="str">
        <x:v>حد أقصى خصم مقترح</x:v>
      </x:c>
      <x:c r="G10" s="28" t="str">
        <x:v>التوجيه بدل العقاب</x:v>
      </x:c>
      <x:c r="H10" s="28" t="str">
        <x:v>لا تجعل XP سالبا</x:v>
      </x:c>
      <x:c r="I10" s="28" t="str">
        <x:v>موجود حاليًا</x:v>
      </x:c>
    </x:row>
    <x:row r="11" ht="43" customHeight="1">
      <x:c r="A11" s="28" t="str">
        <x:v>XP06</x:v>
      </x:c>
      <x:c r="B11" s="28" t="str">
        <x:v>إتمام القيادة</x:v>
      </x:c>
      <x:c r="C11" s="28" t="str">
        <x:v>القمر</x:v>
      </x:c>
      <x:c r="D11" s="28" t="n">
        <x:v>300</x:v>
      </x:c>
      <x:c r="E11" s="28" t="n">
        <x:v>1</x:v>
      </x:c>
      <x:c r="F11" s="28" t="str">
        <x:v>عند بلوغ الهدف ومع جمع الحزم</x:v>
      </x:c>
      <x:c r="G11" s="28" t="str">
        <x:v>فتح التقرير</x:v>
      </x:c>
      <x:c r="H11" s="28" t="str">
        <x:v>لا يحسب إن تخطى الحزم</x:v>
      </x:c>
      <x:c r="I11" s="28" t="str">
        <x:v>موجود حاليًا</x:v>
      </x:c>
    </x:row>
    <x:row r="12" ht="43" customHeight="1">
      <x:c r="A12" s="28" t="str">
        <x:v>XP07</x:v>
      </x:c>
      <x:c r="B12" s="28" t="str">
        <x:v>جمع حزمة</x:v>
      </x:c>
      <x:c r="C12" s="28" t="str">
        <x:v>القمر</x:v>
      </x:c>
      <x:c r="D12" s="28" t="n">
        <x:v>120</x:v>
      </x:c>
      <x:c r="E12" s="28" t="n">
        <x:v>3</x:v>
      </x:c>
      <x:c r="F12" s="28" t="str">
        <x:v>مرة واحدة</x:v>
      </x:c>
      <x:c r="G12" s="28" t="str">
        <x:v>فرصة علمية</x:v>
      </x:c>
      <x:c r="H12" s="28" t="str">
        <x:v>لا تتكرر بالرجوع</x:v>
      </x:c>
      <x:c r="I12" s="28" t="str">
        <x:v>موجود حاليًا</x:v>
      </x:c>
    </x:row>
    <x:row r="13" ht="43" customHeight="1">
      <x:c r="A13" s="28" t="str">
        <x:v>XP08</x:v>
      </x:c>
      <x:c r="B13" s="28" t="str">
        <x:v>تصنيف صحيح</x:v>
      </x:c>
      <x:c r="C13" s="28" t="str">
        <x:v>القمر</x:v>
      </x:c>
      <x:c r="D13" s="28" t="n">
        <x:v>120</x:v>
      </x:c>
      <x:c r="E13" s="28" t="n">
        <x:v>3</x:v>
      </x:c>
      <x:c r="F13" s="28" t="str">
        <x:v>مرة لكل بيانات</x:v>
      </x:c>
      <x:c r="G13" s="28" t="str">
        <x:v>عرض أثر الدقة</x:v>
      </x:c>
      <x:c r="H13" s="28" t="str">
        <x:v>إظهار تفسير</x:v>
      </x:c>
      <x:c r="I13" s="28" t="str">
        <x:v>موجود حاليًا</x:v>
      </x:c>
    </x:row>
    <x:row r="14" ht="43" customHeight="1">
      <x:c r="A14" s="28" t="str">
        <x:v>XP09</x:v>
      </x:c>
      <x:c r="B14" s="28" t="str">
        <x:v>تصنيف خاطئ</x:v>
      </x:c>
      <x:c r="C14" s="28" t="str">
        <x:v>القمر</x:v>
      </x:c>
      <x:c r="D14" s="28" t="n">
        <x:v>-15</x:v>
      </x:c>
      <x:c r="E14" s="28" t="n">
        <x:v>5</x:v>
      </x:c>
      <x:c r="F14" s="28" t="str">
        <x:v>مع سقف خسارة</x:v>
      </x:c>
      <x:c r="G14" s="28" t="str">
        <x:v>التصحيح الفوري</x:v>
      </x:c>
      <x:c r="H14" s="28" t="str">
        <x:v>لا يمنع التقدم بشكل دائم</x:v>
      </x:c>
      <x:c r="I14" s="28" t="str">
        <x:v>موجود حاليًا</x:v>
      </x:c>
    </x:row>
    <x:row r="15" ht="43" customHeight="1">
      <x:c r="A15" s="28" t="str">
        <x:v>XP10</x:v>
      </x:c>
      <x:c r="B15" s="28" t="str">
        <x:v>التجربة العلمية</x:v>
      </x:c>
      <x:c r="C15" s="28" t="str">
        <x:v>القمر</x:v>
      </x:c>
      <x:c r="D15" s="28" t="n">
        <x:v>300</x:v>
      </x:c>
      <x:c r="E15" s="28" t="n">
        <x:v>1</x:v>
      </x:c>
      <x:c r="F15" s="28" t="str">
        <x:v>تحقيق الشرط علميا</x:v>
      </x:c>
      <x:c r="G15" s="28" t="str">
        <x:v>فتح الاستنتاج</x:v>
      </x:c>
      <x:c r="H15" s="28" t="str">
        <x:v>لا مكافأة بمجرد فتح الصفحة</x:v>
      </x:c>
      <x:c r="I15" s="28" t="str">
        <x:v>موجود حاليًا</x:v>
      </x:c>
    </x:row>
    <x:row r="16" ht="43" customHeight="1">
      <x:c r="A16" s="28" t="str">
        <x:v>XP11</x:v>
      </x:c>
      <x:c r="B16" s="28" t="str">
        <x:v>الاستنتاج النهائي</x:v>
      </x:c>
      <x:c r="C16" s="28" t="str">
        <x:v>القمر</x:v>
      </x:c>
      <x:c r="D16" s="28" t="n">
        <x:v>500</x:v>
      </x:c>
      <x:c r="E16" s="28" t="n">
        <x:v>1</x:v>
      </x:c>
      <x:c r="F16" s="28" t="str">
        <x:v>نتيجة مدعومة علميا</x:v>
      </x:c>
      <x:c r="G16" s="28" t="str">
        <x:v>فتح المتحف</x:v>
      </x:c>
      <x:c r="H16" s="28" t="str">
        <x:v>يفحص الأدلة</x:v>
      </x:c>
      <x:c r="I16" s="28" t="str">
        <x:v>موجود حاليًا</x:v>
      </x:c>
    </x:row>
    <x:row r="17" ht="43" customHeight="1">
      <x:c r="A17" s="28" t="str">
        <x:v>XP12</x:v>
      </x:c>
      <x:c r="B17" s="28" t="str">
        <x:v>الانتهاء دون استعادة rover</x:v>
      </x:c>
      <x:c r="C17" s="28" t="str">
        <x:v>القمر</x:v>
      </x:c>
      <x:c r="D17" s="28" t="n">
        <x:v>150</x:v>
      </x:c>
      <x:c r="E17" s="28" t="n">
        <x:v>1</x:v>
      </x:c>
      <x:c r="F17" s="28" t="str">
        <x:v>هدف اختياري</x:v>
      </x:c>
      <x:c r="G17" s="28" t="str">
        <x:v>تقدير التحكم</x:v>
      </x:c>
      <x:c r="H17" s="28" t="str">
        <x:v>لا يؤثر في صحة العلم</x:v>
      </x:c>
      <x:c r="I17" s="28" t="str">
        <x:v>مخطط</x:v>
      </x:c>
    </x:row>
    <x:row r="18" ht="43" customHeight="1">
      <x:c r="A18" s="28" t="str">
        <x:v>XP13</x:v>
      </x:c>
      <x:c r="B18" s="28" t="str">
        <x:v>استخدام Recover</x:v>
      </x:c>
      <x:c r="C18" s="28" t="str">
        <x:v>القمر</x:v>
      </x:c>
      <x:c r="D18" s="28" t="n">
        <x:v>-50</x:v>
      </x:c>
      <x:c r="E18" s="28" t="n">
        <x:v>5</x:v>
      </x:c>
      <x:c r="F18" s="28" t="str">
        <x:v>تكلفة منخفضة</x:v>
      </x:c>
      <x:c r="G18" s="28" t="str">
        <x:v>إعادة المركبة</x:v>
      </x:c>
      <x:c r="H18" s="28" t="str">
        <x:v>منع الوقوع في softlock</x:v>
      </x:c>
      <x:c r="I18" s="28" t="str">
        <x:v>موجود حاليًا</x:v>
      </x:c>
    </x:row>
    <x:row r="19" ht="43" customHeight="1">
      <x:c r="A19" s="28" t="str">
        <x:v>XP14</x:v>
      </x:c>
      <x:c r="B19" s="28" t="str">
        <x:v>طاقة صحيحة Sol 1</x:v>
      </x:c>
      <x:c r="C19" s="28" t="str">
        <x:v>المريخ</x:v>
      </x:c>
      <x:c r="D19" s="28" t="n">
        <x:v>150</x:v>
      </x:c>
      <x:c r="E19" s="28" t="n">
        <x:v>1</x:v>
      </x:c>
      <x:c r="F19" s="28" t="str">
        <x:v>موازنة الطاقة</x:v>
      </x:c>
      <x:c r="G19" s="28" t="str">
        <x:v>فتح سول 2</x:v>
      </x:c>
      <x:c r="H19" s="28" t="str">
        <x:v>قيمة تعليمية</x:v>
      </x:c>
      <x:c r="I19" s="28" t="str">
        <x:v>موجود حاليًا</x:v>
      </x:c>
    </x:row>
    <x:row r="20" ht="43" customHeight="1">
      <x:c r="A20" s="28" t="str">
        <x:v>XP15</x:v>
      </x:c>
      <x:c r="B20" s="28" t="str">
        <x:v>طاقة صحيحة Sol 2</x:v>
      </x:c>
      <x:c r="C20" s="28" t="str">
        <x:v>المريخ</x:v>
      </x:c>
      <x:c r="D20" s="28" t="n">
        <x:v>150</x:v>
      </x:c>
      <x:c r="E20" s="28" t="n">
        <x:v>1</x:v>
      </x:c>
      <x:c r="F20" s="28" t="str">
        <x:v>موازنة الطاقة</x:v>
      </x:c>
      <x:c r="G20" s="28" t="str">
        <x:v>فتح سول 3</x:v>
      </x:c>
      <x:c r="H20" s="28" t="str">
        <x:v>قيمة تعليمية</x:v>
      </x:c>
      <x:c r="I20" s="28" t="str">
        <x:v>موجود حاليًا</x:v>
      </x:c>
    </x:row>
    <x:row r="21" ht="43" customHeight="1">
      <x:c r="A21" s="28" t="str">
        <x:v>XP16</x:v>
      </x:c>
      <x:c r="B21" s="28" t="str">
        <x:v>تدبير الغبار Sol 3</x:v>
      </x:c>
      <x:c r="C21" s="28" t="str">
        <x:v>المريخ</x:v>
      </x:c>
      <x:c r="D21" s="28" t="n">
        <x:v>200</x:v>
      </x:c>
      <x:c r="E21" s="28" t="n">
        <x:v>1</x:v>
      </x:c>
      <x:c r="F21" s="28" t="str">
        <x:v>الاستمرار رغم انخفاض التوليد</x:v>
      </x:c>
      <x:c r="G21" s="28" t="str">
        <x:v>فتح سول 4</x:v>
      </x:c>
      <x:c r="H21" s="28" t="str">
        <x:v>سيناريو افتراضي</x:v>
      </x:c>
      <x:c r="I21" s="28" t="str">
        <x:v>موجود حاليًا</x:v>
      </x:c>
    </x:row>
    <x:row r="22" ht="43" customHeight="1">
      <x:c r="A22" s="28" t="str">
        <x:v>XP17</x:v>
      </x:c>
      <x:c r="B22" s="28" t="str">
        <x:v>توفير احتياطي Sol 4</x:v>
      </x:c>
      <x:c r="C22" s="28" t="str">
        <x:v>المريخ</x:v>
      </x:c>
      <x:c r="D22" s="28" t="n">
        <x:v>200</x:v>
      </x:c>
      <x:c r="E22" s="28" t="n">
        <x:v>1</x:v>
      </x:c>
      <x:c r="F22" s="28" t="str">
        <x:v>نجاح الاتصال</x:v>
      </x:c>
      <x:c r="G22" s="28" t="str">
        <x:v>فتح فك الشفرة</x:v>
      </x:c>
      <x:c r="H22" s="28" t="str">
        <x:v>سيناريو افتراضي</x:v>
      </x:c>
      <x:c r="I22" s="28" t="str">
        <x:v>موجود حاليًا</x:v>
      </x:c>
    </x:row>
    <x:row r="23" ht="43" customHeight="1">
      <x:c r="A23" s="28" t="str">
        <x:v>XP18</x:v>
      </x:c>
      <x:c r="B23" s="28" t="str">
        <x:v>شفرة نهائية صحيحة</x:v>
      </x:c>
      <x:c r="C23" s="28" t="str">
        <x:v>المريخ</x:v>
      </x:c>
      <x:c r="D23" s="28" t="n">
        <x:v>400</x:v>
      </x:c>
      <x:c r="E23" s="28" t="n">
        <x:v>1</x:v>
      </x:c>
      <x:c r="F23" s="28" t="str">
        <x:v>فهم السجل</x:v>
      </x:c>
      <x:c r="G23" s="28" t="str">
        <x:v>معرض المريخ</x:v>
      </x:c>
      <x:c r="H23" s="28" t="str">
        <x:v>لا تخمين</x:v>
      </x:c>
      <x:c r="I23" s="28" t="str">
        <x:v>موجود حاليًا</x:v>
      </x:c>
    </x:row>
    <x:row r="24" ht="43" customHeight="1">
      <x:c r="A24" s="28" t="str">
        <x:v>XP19</x:v>
      </x:c>
      <x:c r="B24" s="28" t="str">
        <x:v>الإنجاز الشامل</x:v>
      </x:c>
      <x:c r="C24" s="28" t="str">
        <x:v>عام</x:v>
      </x:c>
      <x:c r="D24" s="28" t="n">
        <x:v>700</x:v>
      </x:c>
      <x:c r="E24" s="28" t="n">
        <x:v>1</x:v>
      </x:c>
      <x:c r="F24" s="28" t="str">
        <x:v>اكتمال فصلين</x:v>
      </x:c>
      <x:c r="G24" s="28" t="str">
        <x:v>وسام Keeper of Knowledge</x:v>
      </x:c>
      <x:c r="H24" s="28" t="str">
        <x:v>لا تفترض أنه موجود الآن</x:v>
      </x:c>
      <x:c r="I24" s="28" t="str">
        <x:v>مخطط</x:v>
      </x:c>
    </x:row>
    <x:row r="25" ht="43" customHeight="1">
      <x:c r="A25" s="28" t="str">
        <x:v>XP20</x:v>
      </x:c>
      <x:c r="B25" s="28" t="str">
        <x:v>إنجاز بلا تلميحات</x:v>
      </x:c>
      <x:c r="C25" s="28" t="str">
        <x:v>عام</x:v>
      </x:c>
      <x:c r="D25" s="28" t="n">
        <x:v>180</x:v>
      </x:c>
      <x:c r="E25" s="28" t="n">
        <x:v>1</x:v>
      </x:c>
      <x:c r="F25" s="28" t="str">
        <x:v>مهمة بدون hints</x:v>
      </x:c>
      <x:c r="G25" s="28" t="str">
        <x:v>وسام باحث</x:v>
      </x:c>
      <x:c r="H25" s="28" t="str">
        <x:v>ليس شرط فوز</x:v>
      </x:c>
      <x:c r="I25" s="28" t="str">
        <x:v>مخطط</x:v>
      </x:c>
    </x:row>
  </x:sheetData>
  <x:mergeCells>
    <x:mergeCell ref="A1:I1"/>
    <x:mergeCell ref="A2:I2"/>
    <x:mergeCell ref="A3:I3"/>
  </x:mergeCells>
  <x:conditionalFormatting sqref="I6:I25">
    <x:cfRule type="expression" dxfId="30" priority="1">
      <x:formula>I6="مكتمل"</x:formula>
    </x:cfRule>
    <x:cfRule type="expression" dxfId="31" priority="2">
      <x:formula>I6="محظور حتى التحقق"</x:formula>
    </x:cfRule>
    <x:cfRule type="expression" dxfId="32" priority="3">
      <x:formula>I6="يحتاج تحقق"</x:formula>
    </x:cfRule>
  </x:conditionalFormatting>
  <x:dataValidations count="1">
    <x:dataValidation type="list" sqref="I6:I25">
      <x:formula1>"موجود حاليًا,قيد التطوير,مخطط,يحتاج تحقق,مكتمل,لم يبدأ,مؤجل,محظور حتى التحقق,غير منطبق"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63" hidden="0" customWidth="1"/>
    <x:col min="4" max="4" width="39" hidden="0" customWidth="1"/>
    <x:col min="5" max="5" width="53" hidden="0" customWidth="1"/>
    <x:col min="6" max="6" width="47" hidden="0" customWidth="1"/>
    <x:col min="7" max="7" width="21" hidden="0" customWidth="1"/>
    <x:col min="8" max="8" width="19" hidden="0" customWidth="1"/>
    <x:col min="9" max="9" width="15" hidden="0" customWidth="1"/>
  </x:cols>
  <x:sheetData>
    <x:row r="1" ht="38" customHeight="1">
      <x:c r="A1" s="4" t="str">
        <x:v>تفصيل مهمة القمر</x:v>
      </x:c>
      <x:c r="B1" s="4"/>
      <x:c r="C1" s="4"/>
      <x:c r="D1" s="4"/>
      <x:c r="E1" s="4"/>
      <x:c r="F1" s="4"/>
      <x:c r="G1" s="4"/>
      <x:c r="H1" s="4"/>
      <x:c r="I1" s="4"/>
    </x:row>
    <x:row r="2" ht="29" customHeight="1">
      <x:c r="A2" s="10" t="str">
        <x:v>30 حدثًا مرتبًا في Apollo 15: فعل المستخدم ↔ حالة اللعبة ↔ برهان الفهم</x:v>
      </x:c>
      <x:c r="B2" s="10"/>
      <x:c r="C2" s="10"/>
      <x:c r="D2" s="10"/>
      <x:c r="E2" s="10"/>
      <x:c r="F2" s="10"/>
      <x:c r="G2" s="10"/>
      <x:c r="H2" s="10"/>
      <x:c r="I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  <x:c r="H3" s="15"/>
      <x:c r="I3" s="15"/>
    </x:row>
    <x:row r="5" ht="34" customHeight="1">
      <x:c r="A5" s="21" t="str">
        <x:v>ID</x:v>
      </x:c>
      <x:c r="B5" s="21" t="str">
        <x:v>الجزئية</x:v>
      </x:c>
      <x:c r="C5" s="21" t="str">
        <x:v>فعل اللاعب</x:v>
      </x:c>
      <x:c r="D5" s="21" t="str">
        <x:v>حالة النظام</x:v>
      </x:c>
      <x:c r="E5" s="21" t="str">
        <x:v>تغذية راجعة</x:v>
      </x:c>
      <x:c r="F5" s="21" t="str">
        <x:v>المفهوم</x:v>
      </x:c>
      <x:c r="G5" s="21" t="str">
        <x:v>الشرط</x:v>
      </x:c>
      <x:c r="H5" s="21" t="str">
        <x:v>الحالة</x:v>
      </x:c>
      <x:c r="I5" s="21" t="str">
        <x:v>المصدر</x:v>
      </x:c>
    </x:row>
    <x:row r="6" ht="43" customHeight="1">
      <x:c r="A6" s="28" t="str">
        <x:v>AP-01</x:v>
      </x:c>
      <x:c r="B6" s="28" t="str">
        <x:v>شاشة الهبوط</x:v>
      </x:c>
      <x:c r="C6" s="28" t="str">
        <x:v>ابدأ من ORIGIN</x:v>
      </x:c>
      <x:c r="D6" s="28" t="str">
        <x:v>mission=apollo</x:v>
      </x:c>
      <x:c r="E6" s="28" t="str">
        <x:v>شعار وعنوان المهمة</x:v>
      </x:c>
      <x:c r="F6" s="28" t="str">
        <x:v>تاريخ Apollo 15</x:v>
      </x:c>
      <x:c r="G6" s="28" t="str">
        <x:v>فتح المرحلة</x:v>
      </x:c>
      <x:c r="H6" s="28" t="str">
        <x:v>موجود حاليًا</x:v>
      </x:c>
      <x:c r="I6" s="28" t="str">
        <x:v>S05</x:v>
      </x:c>
    </x:row>
    <x:row r="7" ht="43" customHeight="1">
      <x:c r="A7" s="28" t="str">
        <x:v>AP-02</x:v>
      </x:c>
      <x:c r="B7" s="28" t="str">
        <x:v>أول حركة</x:v>
      </x:c>
      <x:c r="C7" s="28" t="str">
        <x:v>تحرك بحزم WASD</x:v>
      </x:c>
      <x:c r="D7" s="28" t="str">
        <x:v>scene=moon</x:v>
      </x:c>
      <x:c r="E7" s="28" t="str">
        <x:v>ظل شخصية وبوصلة</x:v>
      </x:c>
      <x:c r="F7" s="28" t="str">
        <x:v>التنقل في بيئة قمرية افتراضية</x:v>
      </x:c>
      <x:c r="G7" s="28" t="str">
        <x:v>بدء الاستكشاف</x:v>
      </x:c>
      <x:c r="H7" s="28" t="str">
        <x:v>موجود حاليًا</x:v>
      </x:c>
      <x:c r="I7" s="28" t="str">
        <x:v>S05</x:v>
      </x:c>
    </x:row>
    <x:row r="8" ht="43" customHeight="1">
      <x:c r="A8" s="28" t="str">
        <x:v>AP-03</x:v>
      </x:c>
      <x:c r="B8" s="28" t="str">
        <x:v>تحديد المركبة</x:v>
      </x:c>
      <x:c r="C8" s="28" t="str">
        <x:v>اقترب من LRV</x:v>
      </x:c>
      <x:c r="D8" s="28" t="str">
        <x:v>nearRover=true</x:v>
      </x:c>
      <x:c r="E8" s="28" t="str">
        <x:v>تمييز شكل المركبة</x:v>
      </x:c>
      <x:c r="F8" s="28" t="str">
        <x:v>LRV بعثة Apollo 15</x:v>
      </x:c>
      <x:c r="G8" s="28" t="str">
        <x:v>اكتشاف أول دليل</x:v>
      </x:c>
      <x:c r="H8" s="28" t="str">
        <x:v>موجود حاليًا</x:v>
      </x:c>
      <x:c r="I8" s="28" t="str">
        <x:v>S05</x:v>
      </x:c>
    </x:row>
    <x:row r="9" ht="43" customHeight="1">
      <x:c r="A9" s="28" t="str">
        <x:v>AP-04</x:v>
      </x:c>
      <x:c r="B9" s="28" t="str">
        <x:v>دليل عجلات</x:v>
      </x:c>
      <x:c r="C9" s="28" t="str">
        <x:v>التقط سجل الحركة</x:v>
      </x:c>
      <x:c r="D9" s="28" t="str">
        <x:v>evidence[0]=true</x:v>
      </x:c>
      <x:c r="E9" s="28" t="str">
        <x:v>كشف مكون الرصد</x:v>
      </x:c>
      <x:c r="F9" s="28" t="str">
        <x:v>وظيفة العجلات</x:v>
      </x:c>
      <x:c r="G9" s="28" t="str">
        <x:v>دليل 1</x:v>
      </x:c>
      <x:c r="H9" s="28" t="str">
        <x:v>موجود حاليًا</x:v>
      </x:c>
      <x:c r="I9" s="28" t="str">
        <x:v>S05</x:v>
      </x:c>
    </x:row>
    <x:row r="10" ht="43" customHeight="1">
      <x:c r="A10" s="28" t="str">
        <x:v>AP-05</x:v>
      </x:c>
      <x:c r="B10" s="28" t="str">
        <x:v>دليل معدات</x:v>
      </x:c>
      <x:c r="C10" s="28" t="str">
        <x:v>التقط بيانات المعدات</x:v>
      </x:c>
      <x:c r="D10" s="28" t="str">
        <x:v>evidence[1]=true</x:v>
      </x:c>
      <x:c r="E10" s="28" t="str">
        <x:v>ظهور سطر علمي</x:v>
      </x:c>
      <x:c r="F10" s="28" t="str">
        <x:v>حمل المعدات والعيّنات</x:v>
      </x:c>
      <x:c r="G10" s="28" t="str">
        <x:v>دليل 2</x:v>
      </x:c>
      <x:c r="H10" s="28" t="str">
        <x:v>موجود حاليًا</x:v>
      </x:c>
      <x:c r="I10" s="28" t="str">
        <x:v>S05</x:v>
      </x:c>
    </x:row>
    <x:row r="11" ht="43" customHeight="1">
      <x:c r="A11" s="28" t="str">
        <x:v>AP-06</x:v>
      </x:c>
      <x:c r="B11" s="28" t="str">
        <x:v>دليل سياق</x:v>
      </x:c>
      <x:c r="C11" s="28" t="str">
        <x:v>التقط معلومات المهمة</x:v>
      </x:c>
      <x:c r="D11" s="28" t="str">
        <x:v>evidence[2]=true</x:v>
      </x:c>
      <x:c r="E11" s="28" t="str">
        <x:v>بوابة صيانة تضيء</x:v>
      </x:c>
      <x:c r="F11" s="28" t="str">
        <x:v>التوسع في العمل الحقلي</x:v>
      </x:c>
      <x:c r="G11" s="28" t="str">
        <x:v>دليل 3</x:v>
      </x:c>
      <x:c r="H11" s="28" t="str">
        <x:v>موجود حاليًا</x:v>
      </x:c>
      <x:c r="I11" s="28" t="str">
        <x:v>S05</x:v>
      </x:c>
    </x:row>
    <x:row r="12" ht="43" customHeight="1">
      <x:c r="A12" s="28" t="str">
        <x:v>AP-07</x:v>
      </x:c>
      <x:c r="B12" s="28" t="str">
        <x:v>دليل مخفي</x:v>
      </x:c>
      <x:c r="C12" s="28" t="str">
        <x:v>ابحث عن موقع بعيد</x:v>
      </x:c>
      <x:c r="D12" s="28" t="str">
        <x:v>bonusEvidence=true</x:v>
      </x:c>
      <x:c r="E12" s="28" t="str">
        <x:v>نقطة XP اختيارية</x:v>
      </x:c>
      <x:c r="F12" s="28" t="str">
        <x:v>الجيولوجيا</x:v>
      </x:c>
      <x:c r="G12" s="28" t="str">
        <x:v>اختياري</x:v>
      </x:c>
      <x:c r="H12" s="28" t="str">
        <x:v>موجود حاليًا</x:v>
      </x:c>
      <x:c r="I12" s="28" t="str">
        <x:v>S05</x:v>
      </x:c>
    </x:row>
    <x:row r="13" ht="43" customHeight="1">
      <x:c r="A13" s="28" t="str">
        <x:v>AP-08</x:v>
      </x:c>
      <x:c r="B13" s="28" t="str">
        <x:v>دخول نظام الأرشيف</x:v>
      </x:c>
      <x:c r="C13" s="28" t="str">
        <x:v>افتح لوحة الدائرة</x:v>
      </x:c>
      <x:c r="D13" s="28" t="str">
        <x:v>phase=circuit</x:v>
      </x:c>
      <x:c r="E13" s="28" t="str">
        <x:v>واجهة بديلة</x:v>
      </x:c>
      <x:c r="F13" s="28" t="str">
        <x:v>الوصلات في نظام افتراضي</x:v>
      </x:c>
      <x:c r="G13" s="28" t="str">
        <x:v>3 أدلة</x:v>
      </x:c>
      <x:c r="H13" s="28" t="str">
        <x:v>موجود حاليًا</x:v>
      </x:c>
      <x:c r="I13" s="28" t="str">
        <x:v>S05</x:v>
      </x:c>
    </x:row>
    <x:row r="14" ht="43" customHeight="1">
      <x:c r="A14" s="28" t="str">
        <x:v>AP-09</x:v>
      </x:c>
      <x:c r="B14" s="28" t="str">
        <x:v>تدوير قطعة</x:v>
      </x:c>
      <x:c r="C14" s="28" t="str">
        <x:v>دوّر موصلاً</x:v>
      </x:c>
      <x:c r="D14" s="28" t="str">
        <x:v>circuit[r][c]</x:v>
      </x:c>
      <x:c r="E14" s="28" t="str">
        <x:v>تغير صورة الدائرة</x:v>
      </x:c>
      <x:c r="F14" s="28" t="str">
        <x:v>إشارة علمية افتراضية</x:v>
      </x:c>
      <x:c r="G14" s="28" t="str">
        <x:v>توصيل</x:v>
      </x:c>
      <x:c r="H14" s="28" t="str">
        <x:v>موجود حاليًا</x:v>
      </x:c>
      <x:c r="I14" s="28" t="str">
        <x:v>S05</x:v>
      </x:c>
    </x:row>
    <x:row r="15" ht="43" customHeight="1">
      <x:c r="A15" s="28" t="str">
        <x:v>AP-10</x:v>
      </x:c>
      <x:c r="B15" s="28" t="str">
        <x:v>تحقق من المصدر</x:v>
      </x:c>
      <x:c r="C15" s="28" t="str">
        <x:v>أكمل الاتصالات</x:v>
      </x:c>
      <x:c r="D15" s="28" t="str">
        <x:v>circuitConnected=true</x:v>
      </x:c>
      <x:c r="E15" s="28" t="str">
        <x:v>توهج/نجاح</x:v>
      </x:c>
      <x:c r="F15" s="28" t="str">
        <x:v>توصيل إشارة</x:v>
      </x:c>
      <x:c r="G15" s="28" t="str">
        <x:v>فتح الربط</x:v>
      </x:c>
      <x:c r="H15" s="28" t="str">
        <x:v>موجود حاليًا</x:v>
      </x:c>
      <x:c r="I15" s="28" t="str">
        <x:v>S05</x:v>
      </x:c>
    </x:row>
    <x:row r="16" ht="43" customHeight="1">
      <x:c r="A16" s="28" t="str">
        <x:v>AP-11</x:v>
      </x:c>
      <x:c r="B16" s="28" t="str">
        <x:v>اختيار دليل</x:v>
      </x:c>
      <x:c r="C16" s="28" t="str">
        <x:v>اختر إشارة من القائمة</x:v>
      </x:c>
      <x:c r="D16" s="28" t="str">
        <x:v>selection=evidence</x:v>
      </x:c>
      <x:c r="E16" s="28" t="str">
        <x:v>تحديد بصري</x:v>
      </x:c>
      <x:c r="F16" s="28" t="str">
        <x:v>مصدر المعلومة</x:v>
      </x:c>
      <x:c r="G16" s="28" t="str">
        <x:v>انطلاق الربط</x:v>
      </x:c>
      <x:c r="H16" s="28" t="str">
        <x:v>موجود حاليًا</x:v>
      </x:c>
      <x:c r="I16" s="28" t="str">
        <x:v>S05</x:v>
      </x:c>
    </x:row>
    <x:row r="17" ht="43" customHeight="1">
      <x:c r="A17" s="28" t="str">
        <x:v>AP-12</x:v>
      </x:c>
      <x:c r="B17" s="28" t="str">
        <x:v>اختيار أثر</x:v>
      </x:c>
      <x:c r="C17" s="28" t="str">
        <x:v>اربطه بنتيجة</x:v>
      </x:c>
      <x:c r="D17" s="28" t="str">
        <x:v>match[evidence]</x:v>
      </x:c>
      <x:c r="E17" s="28" t="str">
        <x:v>قبول/رفض مفسر</x:v>
      </x:c>
      <x:c r="F17" s="28" t="str">
        <x:v>سبب ونتيجة</x:v>
      </x:c>
      <x:c r="G17" s="28" t="str">
        <x:v>3 روابط</x:v>
      </x:c>
      <x:c r="H17" s="28" t="str">
        <x:v>موجود حاليًا</x:v>
      </x:c>
      <x:c r="I17" s="28" t="str">
        <x:v>S05</x:v>
      </x:c>
    </x:row>
    <x:row r="18" ht="43" customHeight="1">
      <x:c r="A18" s="28" t="str">
        <x:v>AP-13</x:v>
      </x:c>
      <x:c r="B18" s="28" t="str">
        <x:v>فتح طريق</x:v>
      </x:c>
      <x:c r="C18" s="28" t="str">
        <x:v>اظهر المسارات</x:v>
      </x:c>
      <x:c r="D18" s="28" t="str">
        <x:v>routeMenu=true</x:v>
      </x:c>
      <x:c r="E18" s="28" t="str">
        <x:v>لوحة 3 خيارات</x:v>
      </x:c>
      <x:c r="F18" s="28" t="str">
        <x:v>القرار التصميمي</x:v>
      </x:c>
      <x:c r="G18" s="28" t="str">
        <x:v>الربط مكتمل</x:v>
      </x:c>
      <x:c r="H18" s="28" t="str">
        <x:v>موجود حاليًا</x:v>
      </x:c>
      <x:c r="I18" s="28" t="str">
        <x:v>S05</x:v>
      </x:c>
    </x:row>
    <x:row r="19" ht="43" customHeight="1">
      <x:c r="A19" s="28" t="str">
        <x:v>AP-14</x:v>
      </x:c>
      <x:c r="B19" s="28" t="str">
        <x:v>اختيار آمن</x:v>
      </x:c>
      <x:c r="C19" s="28" t="str">
        <x:v>اختر السهولة</x:v>
      </x:c>
      <x:c r="D19" s="28" t="str">
        <x:v>route=safe</x:v>
      </x:c>
      <x:c r="E19" s="28" t="str">
        <x:v>عرض مسافة أكبر</x:v>
      </x:c>
      <x:c r="F19" s="28" t="str">
        <x:v>تكلفة الحركة</x:v>
      </x:c>
      <x:c r="G19" s="28" t="str">
        <x:v>فرع اختياري</x:v>
      </x:c>
      <x:c r="H19" s="28" t="str">
        <x:v>موجود حاليًا</x:v>
      </x:c>
      <x:c r="I19" s="28" t="str">
        <x:v>S05</x:v>
      </x:c>
    </x:row>
    <x:row r="20" ht="43" customHeight="1">
      <x:c r="A20" s="28" t="str">
        <x:v>AP-15</x:v>
      </x:c>
      <x:c r="B20" s="28" t="str">
        <x:v>اختيار التلال</x:v>
      </x:c>
      <x:c r="C20" s="28" t="str">
        <x:v>اختر مخاطرة</x:v>
      </x:c>
      <x:c r="D20" s="28" t="str">
        <x:v>route=ridge</x:v>
      </x:c>
      <x:c r="E20" s="28" t="str">
        <x:v>عرض تضاريس أصعب</x:v>
      </x:c>
      <x:c r="F20" s="28" t="str">
        <x:v>مفاضلة الطريق</x:v>
      </x:c>
      <x:c r="G20" s="28" t="str">
        <x:v>فرع اختياري</x:v>
      </x:c>
      <x:c r="H20" s="28" t="str">
        <x:v>موجود حاليًا</x:v>
      </x:c>
      <x:c r="I20" s="28" t="str">
        <x:v>S05</x:v>
      </x:c>
    </x:row>
    <x:row r="21" ht="43" customHeight="1">
      <x:c r="A21" s="28" t="str">
        <x:v>AP-16</x:v>
      </x:c>
      <x:c r="B21" s="28" t="str">
        <x:v>اختيار علمي</x:v>
      </x:c>
      <x:c r="C21" s="28" t="str">
        <x:v>اختر مواقع أكثر</x:v>
      </x:c>
      <x:c r="D21" s="28" t="str">
        <x:v>route=science</x:v>
      </x:c>
      <x:c r="E21" s="28" t="str">
        <x:v>فرصة إضافية</x:v>
      </x:c>
      <x:c r="F21" s="28" t="str">
        <x:v>أولوية البحث</x:v>
      </x:c>
      <x:c r="G21" s="28" t="str">
        <x:v>فرع اختياري</x:v>
      </x:c>
      <x:c r="H21" s="28" t="str">
        <x:v>موجود حاليًا</x:v>
      </x:c>
      <x:c r="I21" s="28" t="str">
        <x:v>S05</x:v>
      </x:c>
    </x:row>
    <x:row r="22" ht="43" customHeight="1">
      <x:c r="A22" s="28" t="str">
        <x:v>AP-17</x:v>
      </x:c>
      <x:c r="B22" s="28" t="str">
        <x:v>ركوب المركبة</x:v>
      </x:c>
      <x:c r="C22" s="28" t="str">
        <x:v>ادخل وضع الروفر</x:v>
      </x:c>
      <x:c r="D22" s="28" t="str">
        <x:v>driving=true</x:v>
      </x:c>
      <x:c r="E22" s="28" t="str">
        <x:v>HUD سرعة/مسافة</x:v>
      </x:c>
      <x:c r="F22" s="28" t="str">
        <x:v>توسع مجال البحث</x:v>
      </x:c>
      <x:c r="G22" s="28" t="str">
        <x:v>اختيار مسار</x:v>
      </x:c>
      <x:c r="H22" s="28" t="str">
        <x:v>موجود حاليًا</x:v>
      </x:c>
      <x:c r="I22" s="28" t="str">
        <x:v>S05</x:v>
      </x:c>
    </x:row>
    <x:row r="23" ht="43" customHeight="1">
      <x:c r="A23" s="28" t="str">
        <x:v>AP-18</x:v>
      </x:c>
      <x:c r="B23" s="28" t="str">
        <x:v>اجتياز الصخور</x:v>
      </x:c>
      <x:c r="C23" s="28" t="str">
        <x:v>ناور في البيئة</x:v>
      </x:c>
      <x:c r="D23" s="28" t="str">
        <x:v>position updates</x:v>
      </x:c>
      <x:c r="E23" s="28" t="str">
        <x:v>انخفاض سرعة/تصادم</x:v>
      </x:c>
      <x:c r="F23" s="28" t="str">
        <x:v>قيود تنقل</x:v>
      </x:c>
      <x:c r="G23" s="28" t="str">
        <x:v>تحكم</x:v>
      </x:c>
      <x:c r="H23" s="28" t="str">
        <x:v>موجود حاليًا</x:v>
      </x:c>
      <x:c r="I23" s="28" t="str">
        <x:v>S05</x:v>
      </x:c>
    </x:row>
    <x:row r="24" ht="43" customHeight="1">
      <x:c r="A24" s="28" t="str">
        <x:v>AP-19</x:v>
      </x:c>
      <x:c r="B24" s="28" t="str">
        <x:v>جمع حزمة 1</x:v>
      </x:c>
      <x:c r="C24" s="28" t="str">
        <x:v>توقف وفحص E</x:v>
      </x:c>
      <x:c r="D24" s="28" t="str">
        <x:v>cache[0]=true</x:v>
      </x:c>
      <x:c r="E24" s="28" t="str">
        <x:v>مؤشر 1/3</x:v>
      </x:c>
      <x:c r="F24" s="28" t="str">
        <x:v>الملاحظات العلمية</x:v>
      </x:c>
      <x:c r="G24" s="28" t="str">
        <x:v>مطلوب</x:v>
      </x:c>
      <x:c r="H24" s="28" t="str">
        <x:v>موجود حاليًا</x:v>
      </x:c>
      <x:c r="I24" s="28" t="str">
        <x:v>S05</x:v>
      </x:c>
    </x:row>
    <x:row r="25" ht="43" customHeight="1">
      <x:c r="A25" s="28" t="str">
        <x:v>AP-20</x:v>
      </x:c>
      <x:c r="B25" s="28" t="str">
        <x:v>جمع حزمة 2</x:v>
      </x:c>
      <x:c r="C25" s="28" t="str">
        <x:v>توقف وفحص E</x:v>
      </x:c>
      <x:c r="D25" s="28" t="str">
        <x:v>cache[1]=true</x:v>
      </x:c>
      <x:c r="E25" s="28" t="str">
        <x:v>مؤشر 2/3</x:v>
      </x:c>
      <x:c r="F25" s="28" t="str">
        <x:v>الملاحظات العلمية</x:v>
      </x:c>
      <x:c r="G25" s="28" t="str">
        <x:v>مطلوب</x:v>
      </x:c>
      <x:c r="H25" s="28" t="str">
        <x:v>موجود حاليًا</x:v>
      </x:c>
      <x:c r="I25" s="28" t="str">
        <x:v>S05</x:v>
      </x:c>
    </x:row>
    <x:row r="26" ht="43" customHeight="1">
      <x:c r="A26" s="28" t="str">
        <x:v>AP-21</x:v>
      </x:c>
      <x:c r="B26" s="28" t="str">
        <x:v>جمع حزمة 3</x:v>
      </x:c>
      <x:c r="C26" s="28" t="str">
        <x:v>توقف وفحص E</x:v>
      </x:c>
      <x:c r="D26" s="28" t="str">
        <x:v>cache[2]=true</x:v>
      </x:c>
      <x:c r="E26" s="28" t="str">
        <x:v>مؤشر 3/3</x:v>
      </x:c>
      <x:c r="F26" s="28" t="str">
        <x:v>الملاحظات العلمية</x:v>
      </x:c>
      <x:c r="G26" s="28" t="str">
        <x:v>مطلوب</x:v>
      </x:c>
      <x:c r="H26" s="28" t="str">
        <x:v>موجود حاليًا</x:v>
      </x:c>
      <x:c r="I26" s="28" t="str">
        <x:v>S05</x:v>
      </x:c>
    </x:row>
    <x:row r="27" ht="43" customHeight="1">
      <x:c r="A27" s="28" t="str">
        <x:v>AP-22</x:v>
      </x:c>
      <x:c r="B27" s="28" t="str">
        <x:v>بلوغ المنارة</x:v>
      </x:c>
      <x:c r="C27" s="28" t="str">
        <x:v>قاد المركبة للنهاية</x:v>
      </x:c>
      <x:c r="D27" s="28" t="str">
        <x:v>driveDone=true</x:v>
      </x:c>
      <x:c r="E27" s="28" t="str">
        <x:v>فصل القيادة</x:v>
      </x:c>
      <x:c r="F27" s="28" t="str">
        <x:v>تكلفة السفر</x:v>
      </x:c>
      <x:c r="G27" s="28" t="str">
        <x:v>مع جميع الحزم</x:v>
      </x:c>
      <x:c r="H27" s="28" t="str">
        <x:v>موجود حاليًا</x:v>
      </x:c>
      <x:c r="I27" s="28" t="str">
        <x:v>S05</x:v>
      </x:c>
    </x:row>
    <x:row r="28" ht="43" customHeight="1">
      <x:c r="A28" s="28" t="str">
        <x:v>AP-23</x:v>
      </x:c>
      <x:c r="B28" s="28" t="str">
        <x:v>تصنيف الحزمة 1</x:v>
      </x:c>
      <x:c r="C28" s="28" t="str">
        <x:v>اختر نوع السجل</x:v>
      </x:c>
      <x:c r="D28" s="28" t="str">
        <x:v>sort[0]=valid</x:v>
      </x:c>
      <x:c r="E28" s="28" t="str">
        <x:v>Feedback</x:v>
      </x:c>
      <x:c r="F28" s="28" t="str">
        <x:v>نوع البيانات</x:v>
      </x:c>
      <x:c r="G28" s="28" t="str">
        <x:v>مطلوب</x:v>
      </x:c>
      <x:c r="H28" s="28" t="str">
        <x:v>موجود حاليًا</x:v>
      </x:c>
      <x:c r="I28" s="28" t="str">
        <x:v>S05</x:v>
      </x:c>
    </x:row>
    <x:row r="29" ht="43" customHeight="1">
      <x:c r="A29" s="28" t="str">
        <x:v>AP-24</x:v>
      </x:c>
      <x:c r="B29" s="28" t="str">
        <x:v>تصنيف الحزمة 2</x:v>
      </x:c>
      <x:c r="C29" s="28" t="str">
        <x:v>اختر نوع السجل</x:v>
      </x:c>
      <x:c r="D29" s="28" t="str">
        <x:v>sort[1]=valid</x:v>
      </x:c>
      <x:c r="E29" s="28" t="str">
        <x:v>Feedback</x:v>
      </x:c>
      <x:c r="F29" s="28" t="str">
        <x:v>نوع البيانات</x:v>
      </x:c>
      <x:c r="G29" s="28" t="str">
        <x:v>مطلوب</x:v>
      </x:c>
      <x:c r="H29" s="28" t="str">
        <x:v>موجود حاليًا</x:v>
      </x:c>
      <x:c r="I29" s="28" t="str">
        <x:v>S05</x:v>
      </x:c>
    </x:row>
    <x:row r="30" ht="43" customHeight="1">
      <x:c r="A30" s="28" t="str">
        <x:v>AP-25</x:v>
      </x:c>
      <x:c r="B30" s="28" t="str">
        <x:v>تصنيف الحزمة 3</x:v>
      </x:c>
      <x:c r="C30" s="28" t="str">
        <x:v>اختر نوع السجل</x:v>
      </x:c>
      <x:c r="D30" s="28" t="str">
        <x:v>sort[2]=valid</x:v>
      </x:c>
      <x:c r="E30" s="28" t="str">
        <x:v>Feedback</x:v>
      </x:c>
      <x:c r="F30" s="28" t="str">
        <x:v>نوع البيانات</x:v>
      </x:c>
      <x:c r="G30" s="28" t="str">
        <x:v>مطلوب</x:v>
      </x:c>
      <x:c r="H30" s="28" t="str">
        <x:v>موجود حاليًا</x:v>
      </x:c>
      <x:c r="I30" s="28" t="str">
        <x:v>S05</x:v>
      </x:c>
    </x:row>
    <x:row r="31" ht="43" customHeight="1">
      <x:c r="A31" s="28" t="str">
        <x:v>AP-26</x:v>
      </x:c>
      <x:c r="B31" s="28" t="str">
        <x:v>نموذج المشي</x:v>
      </x:c>
      <x:c r="C31" s="28" t="str">
        <x:v>شغّل baseline</x:v>
      </x:c>
      <x:c r="D31" s="28" t="str">
        <x:v>sim.walkSpeed=3 km/h</x:v>
      </x:c>
      <x:c r="E31" s="28" t="str">
        <x:v>زمن واضح</x:v>
      </x:c>
      <x:c r="F31" s="28" t="str">
        <x:v>v=d/t</x:v>
      </x:c>
      <x:c r="G31" s="28" t="str">
        <x:v>مطلوب</x:v>
      </x:c>
      <x:c r="H31" s="28" t="str">
        <x:v>موجود حاليًا</x:v>
      </x:c>
      <x:c r="I31" s="28" t="str">
        <x:v>S05</x:v>
      </x:c>
    </x:row>
    <x:row r="32" ht="43" customHeight="1">
      <x:c r="A32" s="28" t="str">
        <x:v>AP-27</x:v>
      </x:c>
      <x:c r="B32" s="28" t="str">
        <x:v>نموذج الروفر</x:v>
      </x:c>
      <x:c r="C32" s="28" t="str">
        <x:v>غيّر السرعة/المسافة</x:v>
      </x:c>
      <x:c r="D32" s="28" t="str">
        <x:v>sim.roverSpeed</x:v>
      </x:c>
      <x:c r="E32" s="28" t="str">
        <x:v>ساعات علمية متبقية</x:v>
      </x:c>
      <x:c r="F32" s="28" t="str">
        <x:v>v=d/t</x:v>
      </x:c>
      <x:c r="G32" s="28" t="str">
        <x:v>مطلوب</x:v>
      </x:c>
      <x:c r="H32" s="28" t="str">
        <x:v>موجود حاليًا</x:v>
      </x:c>
      <x:c r="I32" s="28" t="str">
        <x:v>S05</x:v>
      </x:c>
    </x:row>
    <x:row r="33" ht="43" customHeight="1">
      <x:c r="A33" s="28" t="str">
        <x:v>AP-28</x:v>
      </x:c>
      <x:c r="B33" s="28" t="str">
        <x:v>نتيجة النموذج</x:v>
      </x:c>
      <x:c r="C33" s="28" t="str">
        <x:v>أوجد فرقًا ذا معنى</x:v>
      </x:c>
      <x:c r="D33" s="28" t="str">
        <x:v>experimentDone=true</x:v>
      </x:c>
      <x:c r="E33" s="28" t="str">
        <x:v>بيان مقارنة</x:v>
      </x:c>
      <x:c r="F33" s="28" t="str">
        <x:v>وقت أكثر للملاحظات</x:v>
      </x:c>
      <x:c r="G33" s="28" t="str">
        <x:v>مطلوب</x:v>
      </x:c>
      <x:c r="H33" s="28" t="str">
        <x:v>موجود حاليًا</x:v>
      </x:c>
      <x:c r="I33" s="28" t="str">
        <x:v>S05</x:v>
      </x:c>
    </x:row>
    <x:row r="34" ht="43" customHeight="1">
      <x:c r="A34" s="28" t="str">
        <x:v>AP-29</x:v>
      </x:c>
      <x:c r="B34" s="28" t="str">
        <x:v>الاستنتاج</x:v>
      </x:c>
      <x:c r="C34" s="28" t="str">
        <x:v>اختر السبب المدعوم</x:v>
      </x:c>
      <x:c r="D34" s="28" t="str">
        <x:v>answer=mobility</x:v>
      </x:c>
      <x:c r="E34" s="28" t="str">
        <x:v>ربط أرشيفي</x:v>
      </x:c>
      <x:c r="F34" s="28" t="str">
        <x:v>دور التنقل</x:v>
      </x:c>
      <x:c r="G34" s="28" t="str">
        <x:v>مطلوب</x:v>
      </x:c>
      <x:c r="H34" s="28" t="str">
        <x:v>موجود حاليًا</x:v>
      </x:c>
      <x:c r="I34" s="28" t="str">
        <x:v>S05</x:v>
      </x:c>
    </x:row>
    <x:row r="35" ht="43" customHeight="1">
      <x:c r="A35" s="28" t="str">
        <x:v>AP-30</x:v>
      </x:c>
      <x:c r="B35" s="28" t="str">
        <x:v>المتحف</x:v>
      </x:c>
      <x:c r="C35" s="28" t="str">
        <x:v>اقرأ قصة الجهاز</x:v>
      </x:c>
      <x:c r="D35" s="28" t="str">
        <x:v>apolloMuseum=true</x:v>
      </x:c>
      <x:c r="E35" s="28" t="str">
        <x:v>فتح معرض</x:v>
      </x:c>
      <x:c r="F35" s="28" t="str">
        <x:v>إرث علمي حقيقي</x:v>
      </x:c>
      <x:c r="G35" s="28" t="str">
        <x:v>خاتمة</x:v>
      </x:c>
      <x:c r="H35" s="28" t="str">
        <x:v>موجود حاليًا</x:v>
      </x:c>
      <x:c r="I35" s="28" t="str">
        <x:v>S05</x:v>
      </x:c>
    </x:row>
  </x:sheetData>
  <x:mergeCells>
    <x:mergeCell ref="A1:I1"/>
    <x:mergeCell ref="A2:I2"/>
    <x:mergeCell ref="A3:I3"/>
  </x:mergeCells>
  <x:conditionalFormatting sqref="H6:H35">
    <x:cfRule type="expression" dxfId="33" priority="1">
      <x:formula>H6="مكتمل"</x:formula>
    </x:cfRule>
    <x:cfRule type="expression" dxfId="34" priority="2">
      <x:formula>H6="محظور حتى التحقق"</x:formula>
    </x:cfRule>
    <x:cfRule type="expression" dxfId="35" priority="3">
      <x:formula>H6="يحتاج تحقق"</x:formula>
    </x:cfRule>
  </x:conditionalFormatting>
  <x:dataValidations count="1">
    <x:dataValidation type="list" sqref="H6:H35">
      <x:formula1>"موجود حاليًا,قيد التطوير,مخطط,يحتاج تحقق,مكتمل,لم يبدأ,مؤجل,محظور حتى التحقق,غير منطبق"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47" hidden="0" customWidth="1"/>
    <x:col min="4" max="4" width="49" hidden="0" customWidth="1"/>
    <x:col min="5" max="5" width="82" hidden="0" customWidth="1"/>
    <x:col min="6" max="6" width="20" hidden="0" customWidth="1"/>
    <x:col min="7" max="7" width="17" hidden="0" customWidth="1"/>
  </x:cols>
  <x:sheetData>
    <x:row r="1" ht="38" customHeight="1">
      <x:c r="A1" s="4" t="str">
        <x:v>تفصيل مهمة المريخ</x:v>
      </x:c>
      <x:c r="B1" s="4"/>
      <x:c r="C1" s="4"/>
      <x:c r="D1" s="4"/>
      <x:c r="E1" s="4"/>
      <x:c r="F1" s="4"/>
      <x:c r="G1" s="4"/>
    </x:row>
    <x:row r="2" ht="29" customHeight="1">
      <x:c r="A2" s="10" t="str">
        <x:v>قصة Opportunity في 4 أيام تعليمية افتراضية، لا تحاكي اللحظات الأخيرة حرفيًا</x:v>
      </x:c>
      <x:c r="B2" s="10"/>
      <x:c r="C2" s="10"/>
      <x:c r="D2" s="10"/>
      <x:c r="E2" s="10"/>
      <x:c r="F2" s="10"/>
      <x:c r="G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</x:row>
    <x:row r="5" ht="34" customHeight="1">
      <x:c r="A5" s="21" t="str">
        <x:v>ID</x:v>
      </x:c>
      <x:c r="B5" s="21" t="str">
        <x:v>الحلقة</x:v>
      </x:c>
      <x:c r="C5" s="21" t="str">
        <x:v>مهمة اللاعب</x:v>
      </x:c>
      <x:c r="D5" s="21" t="str">
        <x:v>المفهوم</x:v>
      </x:c>
      <x:c r="E5" s="21" t="str">
        <x:v>حماية الدقة التاريخية</x:v>
      </x:c>
      <x:c r="F5" s="21" t="str">
        <x:v>الحالة</x:v>
      </x:c>
      <x:c r="G5" s="21" t="str">
        <x:v>المصدر</x:v>
      </x:c>
    </x:row>
    <x:row r="6" ht="43" customHeight="1">
      <x:c r="A6" s="28" t="str">
        <x:v>MR-1A</x:v>
      </x:c>
      <x:c r="B6" s="28" t="str">
        <x:v>Sol 1</x:v>
      </x:c>
      <x:c r="C6" s="28" t="str">
        <x:v>عرض اليوم ومقدار الغبار</x:v>
      </x:c>
      <x:c r="D6" s="28" t="str">
        <x:v>تقدير توليد الشمس</x:v>
      </x:c>
      <x:c r="E6" s="28" t="str">
        <x:v>4 أيام افتراضية وليست إعادة لآخر 4 أيام حقيقية</x:v>
      </x:c>
      <x:c r="F6" s="28" t="str">
        <x:v>موجود حاليًا</x:v>
      </x:c>
      <x:c r="G6" s="28" t="str">
        <x:v>S09/S25</x:v>
      </x:c>
    </x:row>
    <x:row r="7" ht="43" customHeight="1">
      <x:c r="A7" s="28" t="str">
        <x:v>MR-1B</x:v>
      </x:c>
      <x:c r="B7" s="28" t="str">
        <x:v>Sol 1</x:v>
      </x:c>
      <x:c r="C7" s="28" t="str">
        <x:v>تخصيص أجهزة العلم أو الاتصال أو السير</x:v>
      </x:c>
      <x:c r="D7" s="28" t="str">
        <x:v>تكلفة الاختيار</x:v>
      </x:c>
      <x:c r="E7" s="28" t="str">
        <x:v>4 أيام افتراضية وليست إعادة لآخر 4 أيام حقيقية</x:v>
      </x:c>
      <x:c r="F7" s="28" t="str">
        <x:v>موجود حاليًا</x:v>
      </x:c>
      <x:c r="G7" s="28" t="str">
        <x:v>S09/S25</x:v>
      </x:c>
    </x:row>
    <x:row r="8" ht="43" customHeight="1">
      <x:c r="A8" s="28" t="str">
        <x:v>MR-1C</x:v>
      </x:c>
      <x:c r="B8" s="28" t="str">
        <x:v>Sol 1</x:v>
      </x:c>
      <x:c r="C8" s="28" t="str">
        <x:v>حساب صافي البطارية</x:v>
      </x:c>
      <x:c r="D8" s="28" t="str">
        <x:v>نموذج تخزين</x:v>
      </x:c>
      <x:c r="E8" s="28" t="str">
        <x:v>4 أيام افتراضية وليست إعادة لآخر 4 أيام حقيقية</x:v>
      </x:c>
      <x:c r="F8" s="28" t="str">
        <x:v>موجود حاليًا</x:v>
      </x:c>
      <x:c r="G8" s="28" t="str">
        <x:v>S09/S25</x:v>
      </x:c>
    </x:row>
    <x:row r="9" ht="43" customHeight="1">
      <x:c r="A9" s="28" t="str">
        <x:v>MR-1D</x:v>
      </x:c>
      <x:c r="B9" s="28" t="str">
        <x:v>Sol 1</x:v>
      </x:c>
      <x:c r="C9" s="28" t="str">
        <x:v>مراجعة نتيجة القرار</x:v>
      </x:c>
      <x:c r="D9" s="28" t="str">
        <x:v>رسالة السبب والنتيجة</x:v>
      </x:c>
      <x:c r="E9" s="28" t="str">
        <x:v>4 أيام افتراضية وليست إعادة لآخر 4 أيام حقيقية</x:v>
      </x:c>
      <x:c r="F9" s="28" t="str">
        <x:v>موجود حاليًا</x:v>
      </x:c>
      <x:c r="G9" s="28" t="str">
        <x:v>S09/S25</x:v>
      </x:c>
    </x:row>
    <x:row r="10" ht="43" customHeight="1">
      <x:c r="A10" s="28" t="str">
        <x:v>MR-2A</x:v>
      </x:c>
      <x:c r="B10" s="28" t="str">
        <x:v>Sol 2</x:v>
      </x:c>
      <x:c r="C10" s="28" t="str">
        <x:v>عرض اليوم ومقدار الغبار</x:v>
      </x:c>
      <x:c r="D10" s="28" t="str">
        <x:v>تقدير توليد الشمس</x:v>
      </x:c>
      <x:c r="E10" s="28" t="str">
        <x:v>4 أيام افتراضية وليست إعادة لآخر 4 أيام حقيقية</x:v>
      </x:c>
      <x:c r="F10" s="28" t="str">
        <x:v>موجود حاليًا</x:v>
      </x:c>
      <x:c r="G10" s="28" t="str">
        <x:v>S09/S25</x:v>
      </x:c>
    </x:row>
    <x:row r="11" ht="43" customHeight="1">
      <x:c r="A11" s="28" t="str">
        <x:v>MR-2B</x:v>
      </x:c>
      <x:c r="B11" s="28" t="str">
        <x:v>Sol 2</x:v>
      </x:c>
      <x:c r="C11" s="28" t="str">
        <x:v>تخصيص أجهزة العلم أو الاتصال أو السير</x:v>
      </x:c>
      <x:c r="D11" s="28" t="str">
        <x:v>تكلفة الاختيار</x:v>
      </x:c>
      <x:c r="E11" s="28" t="str">
        <x:v>4 أيام افتراضية وليست إعادة لآخر 4 أيام حقيقية</x:v>
      </x:c>
      <x:c r="F11" s="28" t="str">
        <x:v>موجود حاليًا</x:v>
      </x:c>
      <x:c r="G11" s="28" t="str">
        <x:v>S09/S25</x:v>
      </x:c>
    </x:row>
    <x:row r="12" ht="43" customHeight="1">
      <x:c r="A12" s="28" t="str">
        <x:v>MR-2C</x:v>
      </x:c>
      <x:c r="B12" s="28" t="str">
        <x:v>Sol 2</x:v>
      </x:c>
      <x:c r="C12" s="28" t="str">
        <x:v>حساب صافي البطارية</x:v>
      </x:c>
      <x:c r="D12" s="28" t="str">
        <x:v>نموذج تخزين</x:v>
      </x:c>
      <x:c r="E12" s="28" t="str">
        <x:v>4 أيام افتراضية وليست إعادة لآخر 4 أيام حقيقية</x:v>
      </x:c>
      <x:c r="F12" s="28" t="str">
        <x:v>موجود حاليًا</x:v>
      </x:c>
      <x:c r="G12" s="28" t="str">
        <x:v>S09/S25</x:v>
      </x:c>
    </x:row>
    <x:row r="13" ht="43" customHeight="1">
      <x:c r="A13" s="28" t="str">
        <x:v>MR-2D</x:v>
      </x:c>
      <x:c r="B13" s="28" t="str">
        <x:v>Sol 2</x:v>
      </x:c>
      <x:c r="C13" s="28" t="str">
        <x:v>مراجعة نتيجة القرار</x:v>
      </x:c>
      <x:c r="D13" s="28" t="str">
        <x:v>رسالة السبب والنتيجة</x:v>
      </x:c>
      <x:c r="E13" s="28" t="str">
        <x:v>4 أيام افتراضية وليست إعادة لآخر 4 أيام حقيقية</x:v>
      </x:c>
      <x:c r="F13" s="28" t="str">
        <x:v>موجود حاليًا</x:v>
      </x:c>
      <x:c r="G13" s="28" t="str">
        <x:v>S09/S25</x:v>
      </x:c>
    </x:row>
    <x:row r="14" ht="43" customHeight="1">
      <x:c r="A14" s="28" t="str">
        <x:v>MR-3A</x:v>
      </x:c>
      <x:c r="B14" s="28" t="str">
        <x:v>Sol 3</x:v>
      </x:c>
      <x:c r="C14" s="28" t="str">
        <x:v>عرض اليوم ومقدار الغبار</x:v>
      </x:c>
      <x:c r="D14" s="28" t="str">
        <x:v>تقدير توليد الشمس</x:v>
      </x:c>
      <x:c r="E14" s="28" t="str">
        <x:v>4 أيام افتراضية وليست إعادة لآخر 4 أيام حقيقية</x:v>
      </x:c>
      <x:c r="F14" s="28" t="str">
        <x:v>موجود حاليًا</x:v>
      </x:c>
      <x:c r="G14" s="28" t="str">
        <x:v>S09/S25</x:v>
      </x:c>
    </x:row>
    <x:row r="15" ht="43" customHeight="1">
      <x:c r="A15" s="28" t="str">
        <x:v>MR-3B</x:v>
      </x:c>
      <x:c r="B15" s="28" t="str">
        <x:v>Sol 3</x:v>
      </x:c>
      <x:c r="C15" s="28" t="str">
        <x:v>تخصيص أجهزة العلم أو الاتصال أو السير</x:v>
      </x:c>
      <x:c r="D15" s="28" t="str">
        <x:v>تكلفة الاختيار</x:v>
      </x:c>
      <x:c r="E15" s="28" t="str">
        <x:v>4 أيام افتراضية وليست إعادة لآخر 4 أيام حقيقية</x:v>
      </x:c>
      <x:c r="F15" s="28" t="str">
        <x:v>موجود حاليًا</x:v>
      </x:c>
      <x:c r="G15" s="28" t="str">
        <x:v>S09/S25</x:v>
      </x:c>
    </x:row>
    <x:row r="16" ht="43" customHeight="1">
      <x:c r="A16" s="28" t="str">
        <x:v>MR-3C</x:v>
      </x:c>
      <x:c r="B16" s="28" t="str">
        <x:v>Sol 3</x:v>
      </x:c>
      <x:c r="C16" s="28" t="str">
        <x:v>حساب صافي البطارية</x:v>
      </x:c>
      <x:c r="D16" s="28" t="str">
        <x:v>نموذج تخزين</x:v>
      </x:c>
      <x:c r="E16" s="28" t="str">
        <x:v>4 أيام افتراضية وليست إعادة لآخر 4 أيام حقيقية</x:v>
      </x:c>
      <x:c r="F16" s="28" t="str">
        <x:v>موجود حاليًا</x:v>
      </x:c>
      <x:c r="G16" s="28" t="str">
        <x:v>S09/S25</x:v>
      </x:c>
    </x:row>
    <x:row r="17" ht="43" customHeight="1">
      <x:c r="A17" s="28" t="str">
        <x:v>MR-3D</x:v>
      </x:c>
      <x:c r="B17" s="28" t="str">
        <x:v>Sol 3</x:v>
      </x:c>
      <x:c r="C17" s="28" t="str">
        <x:v>مراجعة نتيجة القرار</x:v>
      </x:c>
      <x:c r="D17" s="28" t="str">
        <x:v>رسالة السبب والنتيجة</x:v>
      </x:c>
      <x:c r="E17" s="28" t="str">
        <x:v>4 أيام افتراضية وليست إعادة لآخر 4 أيام حقيقية</x:v>
      </x:c>
      <x:c r="F17" s="28" t="str">
        <x:v>موجود حاليًا</x:v>
      </x:c>
      <x:c r="G17" s="28" t="str">
        <x:v>S09/S25</x:v>
      </x:c>
    </x:row>
    <x:row r="18" ht="43" customHeight="1">
      <x:c r="A18" s="28" t="str">
        <x:v>MR-4A</x:v>
      </x:c>
      <x:c r="B18" s="28" t="str">
        <x:v>Sol 4</x:v>
      </x:c>
      <x:c r="C18" s="28" t="str">
        <x:v>عرض اليوم ومقدار الغبار</x:v>
      </x:c>
      <x:c r="D18" s="28" t="str">
        <x:v>تقدير توليد الشمس</x:v>
      </x:c>
      <x:c r="E18" s="28" t="str">
        <x:v>4 أيام افتراضية وليست إعادة لآخر 4 أيام حقيقية</x:v>
      </x:c>
      <x:c r="F18" s="28" t="str">
        <x:v>موجود حاليًا</x:v>
      </x:c>
      <x:c r="G18" s="28" t="str">
        <x:v>S09/S25</x:v>
      </x:c>
    </x:row>
    <x:row r="19" ht="43" customHeight="1">
      <x:c r="A19" s="28" t="str">
        <x:v>MR-4B</x:v>
      </x:c>
      <x:c r="B19" s="28" t="str">
        <x:v>Sol 4</x:v>
      </x:c>
      <x:c r="C19" s="28" t="str">
        <x:v>تخصيص أجهزة العلم أو الاتصال أو السير</x:v>
      </x:c>
      <x:c r="D19" s="28" t="str">
        <x:v>تكلفة الاختيار</x:v>
      </x:c>
      <x:c r="E19" s="28" t="str">
        <x:v>4 أيام افتراضية وليست إعادة لآخر 4 أيام حقيقية</x:v>
      </x:c>
      <x:c r="F19" s="28" t="str">
        <x:v>موجود حاليًا</x:v>
      </x:c>
      <x:c r="G19" s="28" t="str">
        <x:v>S09/S25</x:v>
      </x:c>
    </x:row>
    <x:row r="20" ht="43" customHeight="1">
      <x:c r="A20" s="28" t="str">
        <x:v>MR-4C</x:v>
      </x:c>
      <x:c r="B20" s="28" t="str">
        <x:v>Sol 4</x:v>
      </x:c>
      <x:c r="C20" s="28" t="str">
        <x:v>حساب صافي البطارية</x:v>
      </x:c>
      <x:c r="D20" s="28" t="str">
        <x:v>نموذج تخزين</x:v>
      </x:c>
      <x:c r="E20" s="28" t="str">
        <x:v>4 أيام افتراضية وليست إعادة لآخر 4 أيام حقيقية</x:v>
      </x:c>
      <x:c r="F20" s="28" t="str">
        <x:v>موجود حاليًا</x:v>
      </x:c>
      <x:c r="G20" s="28" t="str">
        <x:v>S09/S25</x:v>
      </x:c>
    </x:row>
    <x:row r="21" ht="43" customHeight="1">
      <x:c r="A21" s="28" t="str">
        <x:v>MR-4D</x:v>
      </x:c>
      <x:c r="B21" s="28" t="str">
        <x:v>Sol 4</x:v>
      </x:c>
      <x:c r="C21" s="28" t="str">
        <x:v>مراجعة نتيجة القرار</x:v>
      </x:c>
      <x:c r="D21" s="28" t="str">
        <x:v>رسالة السبب والنتيجة</x:v>
      </x:c>
      <x:c r="E21" s="28" t="str">
        <x:v>4 أيام افتراضية وليست إعادة لآخر 4 أيام حقيقية</x:v>
      </x:c>
      <x:c r="F21" s="28" t="str">
        <x:v>موجود حاليًا</x:v>
      </x:c>
      <x:c r="G21" s="28" t="str">
        <x:v>S09/S25</x:v>
      </x:c>
    </x:row>
    <x:row r="22" ht="43" customHeight="1">
      <x:c r="A22" s="28" t="str">
        <x:v>MR-17</x:v>
      </x:c>
      <x:c r="B22" s="28" t="str">
        <x:v>الاتصال</x:v>
      </x:c>
      <x:c r="C22" s="28" t="str">
        <x:v>قراءة نواتج الأيام السابقة</x:v>
      </x:c>
      <x:c r="D22" s="28" t="str">
        <x:v>تحويل البيانات إلى شفرة</x:v>
      </x:c>
      <x:c r="E22" s="28" t="str">
        <x:v>رقم تخيلي وتُظهر اللعبة مصدره</x:v>
      </x:c>
      <x:c r="F22" s="28" t="str">
        <x:v>موجود حاليًا</x:v>
      </x:c>
      <x:c r="G22" s="28" t="str">
        <x:v>S12</x:v>
      </x:c>
    </x:row>
    <x:row r="23" ht="43" customHeight="1">
      <x:c r="A23" s="28" t="str">
        <x:v>MR-18</x:v>
      </x:c>
      <x:c r="B23" s="28" t="str">
        <x:v>خاتمة</x:v>
      </x:c>
      <x:c r="C23" s="28" t="str">
        <x:v>فتح رسالة أرشيفية خيالية</x:v>
      </x:c>
      <x:c r="D23" s="28" t="str">
        <x:v>تحليل سبب الانقطاع</x:v>
      </x:c>
      <x:c r="E23" s="28" t="str">
        <x:v>عدم نسبة كلمات خيالية للروفر</x:v>
      </x:c>
      <x:c r="F23" s="28" t="str">
        <x:v>موجود حاليًا</x:v>
      </x:c>
      <x:c r="G23" s="28" t="str">
        <x:v>S09</x:v>
      </x:c>
    </x:row>
    <x:row r="24" ht="43" customHeight="1">
      <x:c r="A24" s="28" t="str">
        <x:v>MR-19</x:v>
      </x:c>
      <x:c r="B24" s="28" t="str">
        <x:v>المتحف</x:v>
      </x:c>
      <x:c r="C24" s="28" t="str">
        <x:v>عرض تاريخ Opportunity الحقيقي</x:v>
      </x:c>
      <x:c r="D24" s="28" t="str">
        <x:v>ربط الشمس بالغبار والمهمة</x:v>
      </x:c>
      <x:c r="E24" s="28" t="str">
        <x:v>انقطاع الاتصال 2018 وانتهاء 2019</x:v>
      </x:c>
      <x:c r="F24" s="28" t="str">
        <x:v>موجود حاليًا</x:v>
      </x:c>
      <x:c r="G24" s="28" t="str">
        <x:v>S09</x:v>
      </x:c>
    </x:row>
    <x:row r="25" ht="43" customHeight="1">
      <x:c r="A25" s="28" t="str">
        <x:v>MR-20</x:v>
      </x:c>
      <x:c r="B25" s="28" t="str">
        <x:v>إعادة اللعب</x:v>
      </x:c>
      <x:c r="C25" s="28" t="str">
        <x:v>تغيير استراتيجية الطاقة</x:v>
      </x:c>
      <x:c r="D25" s="28" t="str">
        <x:v>نتيجة مفاضلة</x:v>
      </x:c>
      <x:c r="E25" s="28" t="str">
        <x:v>لا إعادة كتابة حدث حقيقي</x:v>
      </x:c>
      <x:c r="F25" s="28" t="str">
        <x:v>مخطط</x:v>
      </x:c>
      <x:c r="G25" s="28" t="str">
        <x:v>S25</x:v>
      </x:c>
    </x:row>
  </x:sheetData>
  <x:mergeCells>
    <x:mergeCell ref="A1:G1"/>
    <x:mergeCell ref="A2:G2"/>
    <x:mergeCell ref="A3:G3"/>
  </x:mergeCells>
  <x:conditionalFormatting sqref="F6:F25">
    <x:cfRule type="expression" dxfId="36" priority="1">
      <x:formula>F6="مكتمل"</x:formula>
    </x:cfRule>
    <x:cfRule type="expression" dxfId="37" priority="2">
      <x:formula>F6="محظور حتى التحقق"</x:formula>
    </x:cfRule>
    <x:cfRule type="expression" dxfId="38" priority="3">
      <x:formula>F6="يحتاج تحقق"</x:formula>
    </x:cfRule>
  </x:conditionalFormatting>
  <x:dataValidations count="1">
    <x:dataValidation type="list" sqref="F6:F25">
      <x:formula1>"موجود حاليًا,قيد التطوير,مخطط,يحتاج تحقق,مكتمل,لم يبدأ,مؤجل,محظور حتى التحقق,غير منطبق"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30" hidden="0" customWidth="1"/>
    <x:col min="4" max="4" width="78" hidden="0" customWidth="1"/>
    <x:col min="5" max="5" width="75" hidden="0" customWidth="1"/>
    <x:col min="6" max="6" width="13" hidden="0" customWidth="1"/>
  </x:cols>
  <x:sheetData>
    <x:row r="1" ht="38" customHeight="1">
      <x:c r="A1" s="4" t="str">
        <x:v>التوسعات</x:v>
      </x:c>
      <x:c r="B1" s="4"/>
      <x:c r="C1" s="4"/>
      <x:c r="D1" s="4"/>
      <x:c r="E1" s="4"/>
      <x:c r="F1" s="4"/>
    </x:row>
    <x:row r="2" ht="29" customHeight="1">
      <x:c r="A2" s="10" t="str">
        <x:v>أفكار مستقبلية ليست جزءًا من تسليم 2026؛ لا تستهلك طاقة الفريق قبل بوابة الإنجاز</x:v>
      </x:c>
      <x:c r="B2" s="10"/>
      <x:c r="C2" s="10"/>
      <x:c r="D2" s="10"/>
      <x:c r="E2" s="10"/>
      <x:c r="F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</x:row>
    <x:row r="5" ht="34" customHeight="1">
      <x:c r="A5" s="21" t="str">
        <x:v>ID</x:v>
      </x:c>
      <x:c r="B5" s="21" t="str">
        <x:v>العالم</x:v>
      </x:c>
      <x:c r="C5" s="21" t="str">
        <x:v>المرحلة</x:v>
      </x:c>
      <x:c r="D5" s="21" t="str">
        <x:v>الفكرة</x:v>
      </x:c>
      <x:c r="E5" s="21" t="str">
        <x:v>الهدف التعليمي/التحذير</x:v>
      </x:c>
      <x:c r="F5" s="21" t="str">
        <x:v>الأولوية</x:v>
      </x:c>
    </x:row>
    <x:row r="6" ht="43" customHeight="1">
      <x:c r="A6" s="28" t="str">
        <x:v>F01</x:v>
      </x:c>
      <x:c r="B6" s="28" t="str">
        <x:v>InSight</x:v>
      </x:c>
      <x:c r="C6" s="28" t="str">
        <x:v>المشهد الأول</x:v>
      </x:c>
      <x:c r="D6" s="28" t="str">
        <x:v>تحدد مهمة السيزمومتر SEIS</x:v>
      </x:c>
      <x:c r="E6" s="28" t="str">
        <x:v>تاريخ NASA</x:v>
      </x:c>
      <x:c r="F6" s="28" t="str">
        <x:v>P2</x:v>
      </x:c>
    </x:row>
    <x:row r="7" ht="43" customHeight="1">
      <x:c r="A7" s="28" t="str">
        <x:v>F02</x:v>
      </x:c>
      <x:c r="B7" s="28" t="str">
        <x:v>InSight</x:v>
      </x:c>
      <x:c r="C7" s="28" t="str">
        <x:v>المرحلة 2</x:v>
      </x:c>
      <x:c r="D7" s="28" t="str">
        <x:v>تقرأ اهتزازات لآلات حقيقية أو بيانات صناعية بعلامة</x:v>
      </x:c>
      <x:c r="E7" s="28" t="str">
        <x:v>بيانات موثقة أو اصطناعية معلنة</x:v>
      </x:c>
      <x:c r="F7" s="28" t="str">
        <x:v>P2</x:v>
      </x:c>
    </x:row>
    <x:row r="8" ht="43" customHeight="1">
      <x:c r="A8" s="28" t="str">
        <x:v>F03</x:v>
      </x:c>
      <x:c r="B8" s="28" t="str">
        <x:v>InSight</x:v>
      </x:c>
      <x:c r="C8" s="28" t="str">
        <x:v>المرحلة 3</x:v>
      </x:c>
      <x:c r="D8" s="28" t="str">
        <x:v>تزيل ضوضاء مبسطة</x:v>
      </x:c>
      <x:c r="E8" s="28" t="str">
        <x:v>إشارة رقمية</x:v>
      </x:c>
      <x:c r="F8" s="28" t="str">
        <x:v>P2</x:v>
      </x:c>
    </x:row>
    <x:row r="9" ht="43" customHeight="1">
      <x:c r="A9" s="28" t="str">
        <x:v>F04</x:v>
      </x:c>
      <x:c r="B9" s="28" t="str">
        <x:v>InSight</x:v>
      </x:c>
      <x:c r="C9" s="28" t="str">
        <x:v>المرحلة 4</x:v>
      </x:c>
      <x:c r="D9" s="28" t="str">
        <x:v>تميز Marsquake من تشويش</x:v>
      </x:c>
      <x:c r="E9" s="28" t="str">
        <x:v>مرشح وتفسير</x:v>
      </x:c>
      <x:c r="F9" s="28" t="str">
        <x:v>P2</x:v>
      </x:c>
    </x:row>
    <x:row r="10" ht="43" customHeight="1">
      <x:c r="A10" s="28" t="str">
        <x:v>F05</x:v>
      </x:c>
      <x:c r="B10" s="28" t="str">
        <x:v>InSight</x:v>
      </x:c>
      <x:c r="C10" s="28" t="str">
        <x:v>المرحلة 5</x:v>
      </x:c>
      <x:c r="D10" s="28" t="str">
        <x:v>تستنتج أهمية دراسة الداخل</x:v>
      </x:c>
      <x:c r="E10" s="28" t="str">
        <x:v>سجل علمي</x:v>
      </x:c>
      <x:c r="F10" s="28" t="str">
        <x:v>P2</x:v>
      </x:c>
    </x:row>
    <x:row r="11" ht="43" customHeight="1">
      <x:c r="A11" s="28" t="str">
        <x:v>F06</x:v>
      </x:c>
      <x:c r="B11" s="28" t="str">
        <x:v>Spirit</x:v>
      </x:c>
      <x:c r="C11" s="28" t="str">
        <x:v>بداية</x:v>
      </x:c>
      <x:c r="D11" s="28" t="str">
        <x:v>اكتشاف مكونات العربة</x:v>
      </x:c>
      <x:c r="E11" s="28" t="str">
        <x:v>هندسة روبوتية</x:v>
      </x:c>
      <x:c r="F11" s="28" t="str">
        <x:v>P2</x:v>
      </x:c>
    </x:row>
    <x:row r="12" ht="43" customHeight="1">
      <x:c r="A12" s="28" t="str">
        <x:v>F07</x:v>
      </x:c>
      <x:c r="B12" s="28" t="str">
        <x:v>Spirit</x:v>
      </x:c>
      <x:c r="C12" s="28" t="str">
        <x:v>المسار</x:v>
      </x:c>
      <x:c r="D12" s="28" t="str">
        <x:v>جر عجلات وطرق رملية</x:v>
      </x:c>
      <x:c r="E12" s="28" t="str">
        <x:v>تقنيات التنقل</x:v>
      </x:c>
      <x:c r="F12" s="28" t="str">
        <x:v>P2</x:v>
      </x:c>
    </x:row>
    <x:row r="13" ht="43" customHeight="1">
      <x:c r="A13" s="28" t="str">
        <x:v>F08</x:v>
      </x:c>
      <x:c r="B13" s="28" t="str">
        <x:v>Spirit</x:v>
      </x:c>
      <x:c r="C13" s="28" t="str">
        <x:v>القرار</x:v>
      </x:c>
      <x:c r="D13" s="28" t="str">
        <x:v>توازن بين مسافات ومخاطر</x:v>
      </x:c>
      <x:c r="E13" s="28" t="str">
        <x:v>قرار هندسي</x:v>
      </x:c>
      <x:c r="F13" s="28" t="str">
        <x:v>P2</x:v>
      </x:c>
    </x:row>
    <x:row r="14" ht="43" customHeight="1">
      <x:c r="A14" s="28" t="str">
        <x:v>F09</x:v>
      </x:c>
      <x:c r="B14" s="28" t="str">
        <x:v>Spirit</x:v>
      </x:c>
      <x:c r="C14" s="28" t="str">
        <x:v>النتيجة</x:v>
      </x:c>
      <x:c r="D14" s="28" t="str">
        <x:v>بناء قصة إنجازات تاريخية</x:v>
      </x:c>
      <x:c r="E14" s="28" t="str">
        <x:v>توثيق</x:v>
      </x:c>
      <x:c r="F14" s="28" t="str">
        <x:v>P2</x:v>
      </x:c>
    </x:row>
    <x:row r="15" ht="43" customHeight="1">
      <x:c r="A15" s="28" t="str">
        <x:v>F10</x:v>
      </x:c>
      <x:c r="B15" s="28" t="str">
        <x:v>Phoenix</x:v>
      </x:c>
      <x:c r="C15" s="28" t="str">
        <x:v>القصة</x:v>
      </x:c>
      <x:c r="D15" s="28" t="str">
        <x:v>تفسير هدف العربة الثابتة والبحث</x:v>
      </x:c>
      <x:c r="E15" s="28" t="str">
        <x:v>مهمات سطحية</x:v>
      </x:c>
      <x:c r="F15" s="28" t="str">
        <x:v>P2</x:v>
      </x:c>
    </x:row>
    <x:row r="16" ht="43" customHeight="1">
      <x:c r="A16" s="28" t="str">
        <x:v>F11</x:v>
      </x:c>
      <x:c r="B16" s="28" t="str">
        <x:v>Phoenix</x:v>
      </x:c>
      <x:c r="C16" s="28" t="str">
        <x:v>جمع</x:v>
      </x:c>
      <x:c r="D16" s="28" t="str">
        <x:v>أدلة جليد مائي وتربة من مصادر</x:v>
      </x:c>
      <x:c r="E16" s="28" t="str">
        <x:v>تربة المريخ</x:v>
      </x:c>
      <x:c r="F16" s="28" t="str">
        <x:v>P2</x:v>
      </x:c>
    </x:row>
    <x:row r="17" ht="43" customHeight="1">
      <x:c r="A17" s="28" t="str">
        <x:v>F12</x:v>
      </x:c>
      <x:c r="B17" s="28" t="str">
        <x:v>Phoenix</x:v>
      </x:c>
      <x:c r="C17" s="28" t="str">
        <x:v>لغز</x:v>
      </x:c>
      <x:c r="D17" s="28" t="str">
        <x:v>ربط ملاحظات الماء والجليد</x:v>
      </x:c>
      <x:c r="E17" s="28" t="str">
        <x:v>علم الكواكب</x:v>
      </x:c>
      <x:c r="F17" s="28" t="str">
        <x:v>P2</x:v>
      </x:c>
    </x:row>
    <x:row r="18" ht="43" customHeight="1">
      <x:c r="A18" s="28" t="str">
        <x:v>F13</x:v>
      </x:c>
      <x:c r="B18" s="28" t="str">
        <x:v>Apollo 17</x:v>
      </x:c>
      <x:c r="C18" s="28" t="str">
        <x:v>الموقع</x:v>
      </x:c>
      <x:c r="D18" s="28" t="str">
        <x:v>توسيع نطاق المركبة</x:v>
      </x:c>
      <x:c r="E18" s="28" t="str">
        <x:v>تاريخ Apollo</x:v>
      </x:c>
      <x:c r="F18" s="28" t="str">
        <x:v>P2</x:v>
      </x:c>
    </x:row>
    <x:row r="19" ht="43" customHeight="1">
      <x:c r="A19" s="28" t="str">
        <x:v>F14</x:v>
      </x:c>
      <x:c r="B19" s="28" t="str">
        <x:v>Apollo 17</x:v>
      </x:c>
      <x:c r="C19" s="28" t="str">
        <x:v>عينة</x:v>
      </x:c>
      <x:c r="D19" s="28" t="str">
        <x:v>مقارنة عينات جيولوجية</x:v>
      </x:c>
      <x:c r="E19" s="28" t="str">
        <x:v>تاريخ</x:v>
      </x:c>
      <x:c r="F19" s="28" t="str">
        <x:v>P2</x:v>
      </x:c>
    </x:row>
    <x:row r="20" ht="43" customHeight="1">
      <x:c r="A20" s="28" t="str">
        <x:v>F15</x:v>
      </x:c>
      <x:c r="B20" s="28" t="str">
        <x:v>Apollo 17</x:v>
      </x:c>
      <x:c r="C20" s="28" t="str">
        <x:v>استنتاج</x:v>
      </x:c>
      <x:c r="D20" s="28" t="str">
        <x:v>مقارنة مساهمة المركبات</x:v>
      </x:c>
      <x:c r="E20" s="28" t="str">
        <x:v>قياس أثر</x:v>
      </x:c>
      <x:c r="F20" s="28" t="str">
        <x:v>P2</x:v>
      </x:c>
    </x:row>
    <x:row r="21" ht="43" customHeight="1">
      <x:c r="A21" s="28" t="str">
        <x:v>F16</x:v>
      </x:c>
      <x:c r="B21" s="28" t="str">
        <x:v>Apollo 16</x:v>
      </x:c>
      <x:c r="C21" s="28" t="str">
        <x:v>المقدمة</x:v>
      </x:c>
      <x:c r="D21" s="28" t="str">
        <x:v>أهمية المركبة الثالثة؟ تحقق التسلسل</x:v>
      </x:c>
      <x:c r="E21" s="28" t="str">
        <x:v>تاريخ Apollo</x:v>
      </x:c>
      <x:c r="F21" s="28" t="str">
        <x:v>P3</x:v>
      </x:c>
    </x:row>
    <x:row r="22" ht="43" customHeight="1">
      <x:c r="A22" s="28" t="str">
        <x:v>F17</x:v>
      </x:c>
      <x:c r="B22" s="28" t="str">
        <x:v>Apollo 16</x:v>
      </x:c>
      <x:c r="C22" s="28" t="str">
        <x:v>فحص</x:v>
      </x:c>
      <x:c r="D22" s="28" t="str">
        <x:v>إظهار تغيير المواقع العلمية</x:v>
      </x:c>
      <x:c r="E22" s="28" t="str">
        <x:v>توثيق</x:v>
      </x:c>
      <x:c r="F22" s="28" t="str">
        <x:v>P3</x:v>
      </x:c>
    </x:row>
    <x:row r="23" ht="43" customHeight="1">
      <x:c r="A23" s="28" t="str">
        <x:v>F18</x:v>
      </x:c>
      <x:c r="B23" s="28" t="str">
        <x:v>Voyager</x:v>
      </x:c>
      <x:c r="C23" s="28" t="str">
        <x:v>مقدمة</x:v>
      </x:c>
      <x:c r="D23" s="28" t="str">
        <x:v>ليس جهازًا متروكًا على سطح القمر أو المريخ</x:v>
      </x:c>
      <x:c r="E23" s="28" t="str">
        <x:v>تصنيف بعثة مستمرة</x:v>
      </x:c>
      <x:c r="F23" s="28" t="str">
        <x:v>P3</x:v>
      </x:c>
    </x:row>
    <x:row r="24" ht="43" customHeight="1">
      <x:c r="A24" s="28" t="str">
        <x:v>F19</x:v>
      </x:c>
      <x:c r="B24" s="28" t="str">
        <x:v>Voyager</x:v>
      </x:c>
      <x:c r="C24" s="28" t="str">
        <x:v>شبكة</x:v>
      </x:c>
      <x:c r="D24" s="28" t="str">
        <x:v>إشارة وتأخر الاتصال</x:v>
      </x:c>
      <x:c r="E24" s="28" t="str">
        <x:v>فيزياء واتصالات</x:v>
      </x:c>
      <x:c r="F24" s="28" t="str">
        <x:v>P3</x:v>
      </x:c>
    </x:row>
    <x:row r="25" ht="43" customHeight="1">
      <x:c r="A25" s="28" t="str">
        <x:v>F20</x:v>
      </x:c>
      <x:c r="B25" s="28" t="str">
        <x:v>Voyager</x:v>
      </x:c>
      <x:c r="C25" s="28" t="str">
        <x:v>حقيقة</x:v>
      </x:c>
      <x:c r="D25" s="28" t="str">
        <x:v>تحقق الحالة المعاصرة قبل النشر</x:v>
      </x:c>
      <x:c r="E25" s="28" t="str">
        <x:v>حقائق متغيرة</x:v>
      </x:c>
      <x:c r="F25" s="28" t="str">
        <x:v>P3</x:v>
      </x:c>
    </x:row>
    <x:row r="26" ht="43" customHeight="1">
      <x:c r="A26" s="28" t="str">
        <x:v>F21</x:v>
      </x:c>
      <x:c r="B26" s="28" t="str">
        <x:v>متحف متعدد</x:v>
      </x:c>
      <x:c r="C26" s="28" t="str">
        <x:v>طابق</x:v>
      </x:c>
      <x:c r="D26" s="28" t="str">
        <x:v>تقارب العلمي بين القمر والمريخ</x:v>
      </x:c>
      <x:c r="E26" s="28" t="str">
        <x:v>التعلم المقارن</x:v>
      </x:c>
      <x:c r="F26" s="28" t="str">
        <x:v>P2</x:v>
      </x:c>
    </x:row>
    <x:row r="27" ht="43" customHeight="1">
      <x:c r="A27" s="28" t="str">
        <x:v>F22</x:v>
      </x:c>
      <x:c r="B27" s="28" t="str">
        <x:v>متحف متعدد</x:v>
      </x:c>
      <x:c r="C27" s="28" t="str">
        <x:v>تدريج</x:v>
      </x:c>
      <x:c r="D27" s="28" t="str">
        <x:v>خريطة علمية تفاعلية عبر الزمن</x:v>
      </x:c>
      <x:c r="E27" s="28" t="str">
        <x:v>تسلسل زمني</x:v>
      </x:c>
      <x:c r="F27" s="28" t="str">
        <x:v>P2</x:v>
      </x:c>
    </x:row>
    <x:row r="28" ht="43" customHeight="1">
      <x:c r="A28" s="28" t="str">
        <x:v>F23</x:v>
      </x:c>
      <x:c r="B28" s="28" t="str">
        <x:v>متحف متعدد</x:v>
      </x:c>
      <x:c r="C28" s="28" t="str">
        <x:v>اللاعب</x:v>
      </x:c>
      <x:c r="D28" s="28" t="str">
        <x:v>يعيد ترتيب أثر المهمات</x:v>
      </x:c>
      <x:c r="E28" s="28" t="str">
        <x:v>سرد بصري</x:v>
      </x:c>
      <x:c r="F28" s="28" t="str">
        <x:v>P2</x:v>
      </x:c>
    </x:row>
    <x:row r="29" ht="43" customHeight="1">
      <x:c r="A29" s="28" t="str">
        <x:v>F24</x:v>
      </x:c>
      <x:c r="B29" s="28" t="str">
        <x:v>التعليم</x:v>
      </x:c>
      <x:c r="C29" s="28" t="str">
        <x:v>المدرسة</x:v>
      </x:c>
      <x:c r="D29" s="28" t="str">
        <x:v>درس 20 دقيقة قابل للطباعة</x:v>
      </x:c>
      <x:c r="E29" s="28" t="str">
        <x:v>STEM</x:v>
      </x:c>
      <x:c r="F29" s="28" t="str">
        <x:v>P3</x:v>
      </x:c>
    </x:row>
    <x:row r="30" ht="43" customHeight="1">
      <x:c r="A30" s="28" t="str">
        <x:v>F25</x:v>
      </x:c>
      <x:c r="B30" s="28" t="str">
        <x:v>التعليم</x:v>
      </x:c>
      <x:c r="C30" s="28" t="str">
        <x:v>المعلم</x:v>
      </x:c>
      <x:c r="D30" s="28" t="str">
        <x:v>لوحة أسئلة قبل وبعد بدون حسابات الطلاب</x:v>
      </x:c>
      <x:c r="E30" s="28" t="str">
        <x:v>خصوصية</x:v>
      </x:c>
      <x:c r="F30" s="28" t="str">
        <x:v>P3</x:v>
      </x:c>
    </x:row>
    <x:row r="31" ht="43" customHeight="1">
      <x:c r="A31" s="28" t="str">
        <x:v>F26</x:v>
      </x:c>
      <x:c r="B31" s="28" t="str">
        <x:v>التعليم</x:v>
      </x:c>
      <x:c r="C31" s="28" t="str">
        <x:v>إتاحة</x:v>
      </x:c>
      <x:c r="D31" s="28" t="str">
        <x:v>طرق بديلة للمكفوفين أو ضعف الحركة</x:v>
      </x:c>
      <x:c r="E31" s="28" t="str">
        <x:v>شمول</x:v>
      </x:c>
      <x:c r="F31" s="28" t="str">
        <x:v>P2</x:v>
      </x:c>
    </x:row>
    <x:row r="32" ht="43" customHeight="1">
      <x:c r="A32" s="28" t="str">
        <x:v>F27</x:v>
      </x:c>
      <x:c r="B32" s="28" t="str">
        <x:v>التعليم</x:v>
      </x:c>
      <x:c r="C32" s="28" t="str">
        <x:v>الصوت</x:v>
      </x:c>
      <x:c r="D32" s="28" t="str">
        <x:v>سرد مسموع مع ترجمات</x:v>
      </x:c>
      <x:c r="E32" s="28" t="str">
        <x:v>قراءة</x:v>
      </x:c>
      <x:c r="F32" s="28" t="str">
        <x:v>P2</x:v>
      </x:c>
    </x:row>
    <x:row r="33" ht="43" customHeight="1">
      <x:c r="A33" s="28" t="str">
        <x:v>F28</x:v>
      </x:c>
      <x:c r="B33" s="28" t="str">
        <x:v>التعليم</x:v>
      </x:c>
      <x:c r="C33" s="28" t="str">
        <x:v>الحفظ</x:v>
      </x:c>
      <x:c r="D33" s="28" t="str">
        <x:v>حفظ مستقل للاعبين محليًا</x:v>
      </x:c>
      <x:c r="E33" s="28" t="str">
        <x:v>تقنية</x:v>
      </x:c>
      <x:c r="F33" s="28" t="str">
        <x:v>P2</x:v>
      </x:c>
    </x:row>
    <x:row r="34" ht="43" customHeight="1">
      <x:c r="A34" s="28" t="str">
        <x:v>F29</x:v>
      </x:c>
      <x:c r="B34" s="28" t="str">
        <x:v>تجارب</x:v>
      </x:c>
      <x:c r="C34" s="28" t="str">
        <x:v>تحديات أسبوعية</x:v>
      </x:c>
      <x:c r="D34" s="28" t="str">
        <x:v>ألغاز مستمدة من بيانات موثقة</x:v>
      </x:c>
      <x:c r="E34" s="28" t="str">
        <x:v>محتوى مستدام</x:v>
      </x:c>
      <x:c r="F34" s="28" t="str">
        <x:v>P3</x:v>
      </x:c>
    </x:row>
    <x:row r="35" ht="43" customHeight="1">
      <x:c r="A35" s="28" t="str">
        <x:v>F30</x:v>
      </x:c>
      <x:c r="B35" s="28" t="str">
        <x:v>تجارب</x:v>
      </x:c>
      <x:c r="C35" s="28" t="str">
        <x:v>المعلم</x:v>
      </x:c>
      <x:c r="D35" s="28" t="str">
        <x:v>بنك مهام قابل للتخصيص</x:v>
      </x:c>
      <x:c r="E35" s="28" t="str">
        <x:v>تخصيص</x:v>
      </x:c>
      <x:c r="F35" s="28" t="str">
        <x:v>P3</x:v>
      </x:c>
    </x:row>
  </x:sheetData>
  <x:mergeCells>
    <x:mergeCell ref="A1:F1"/>
    <x:mergeCell ref="A2:F2"/>
    <x:mergeCell ref="A3:F3"/>
  </x:mergeCells>
  <x:conditionalFormatting sqref="F6:F35">
    <x:cfRule type="expression" dxfId="39" priority="1">
      <x:formula>F6="P0"</x:formula>
    </x:cfRule>
    <x:cfRule type="expression" dxfId="40" priority="2">
      <x:formula>F6="حرج"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37" hidden="0" customWidth="1"/>
    <x:col min="4" max="4" width="71" hidden="0" customWidth="1"/>
    <x:col min="5" max="5" width="66" hidden="0" customWidth="1"/>
    <x:col min="6" max="6" width="20" hidden="0" customWidth="1"/>
    <x:col min="7" max="7" width="12" hidden="0" customWidth="1"/>
  </x:cols>
  <x:sheetData>
    <x:row r="1" ht="38" customHeight="1">
      <x:c r="A1" s="4" t="str">
        <x:v>العوالم والخرائط</x:v>
      </x:c>
      <x:c r="B1" s="4"/>
      <x:c r="C1" s="4"/>
      <x:c r="D1" s="4"/>
      <x:c r="E1" s="4"/>
      <x:c r="F1" s="4"/>
      <x:c r="G1" s="4"/>
    </x:row>
    <x:row r="2" ht="29" customHeight="1">
      <x:c r="A2" s="10" t="str">
        <x:v>تصميم كل موقع وكيف يضيف فعلًا أو لغزًا بدل أن يكون ديكورًا</x:v>
      </x:c>
      <x:c r="B2" s="10"/>
      <x:c r="C2" s="10"/>
      <x:c r="D2" s="10"/>
      <x:c r="E2" s="10"/>
      <x:c r="F2" s="10"/>
      <x:c r="G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</x:row>
    <x:row r="5" ht="34" customHeight="1">
      <x:c r="A5" s="21" t="str">
        <x:v>ID</x:v>
      </x:c>
      <x:c r="B5" s="21" t="str">
        <x:v>العالم</x:v>
      </x:c>
      <x:c r="C5" s="21" t="str">
        <x:v>المعلم</x:v>
      </x:c>
      <x:c r="D5" s="21" t="str">
        <x:v>مبدأ التصميم</x:v>
      </x:c>
      <x:c r="E5" s="21" t="str">
        <x:v>العنصر التفاعلي</x:v>
      </x:c>
      <x:c r="F5" s="21" t="str">
        <x:v>الحالة</x:v>
      </x:c>
      <x:c r="G5" s="21" t="str">
        <x:v>الأولوية</x:v>
      </x:c>
    </x:row>
    <x:row r="6" ht="43" customHeight="1">
      <x:c r="A6" s="28" t="str">
        <x:v>Z-OR-01</x:v>
      </x:c>
      <x:c r="B6" s="28" t="str">
        <x:v>ORIGIN</x:v>
      </x:c>
      <x:c r="C6" s="28" t="str">
        <x:v>قاعة الاكتشاف</x:v>
      </x:c>
      <x:c r="D6" s="28" t="str">
        <x:v>النطاق الصغير الممتلئ بالتفاعل أفضل من مساحة واسعة فارغة</x:v>
      </x:c>
      <x:c r="E6" s="28" t="str">
        <x:v>دليل/عائق/قرار واحد على الأقل</x:v>
      </x:c>
      <x:c r="F6" s="28" t="str">
        <x:v>موجود حاليًا</x:v>
      </x:c>
      <x:c r="G6" s="28" t="str">
        <x:v>P0</x:v>
      </x:c>
    </x:row>
    <x:row r="7" ht="43" customHeight="1">
      <x:c r="A7" s="28" t="str">
        <x:v>Z-OR-02</x:v>
      </x:c>
      <x:c r="B7" s="28" t="str">
        <x:v>ORIGIN</x:v>
      </x:c>
      <x:c r="C7" s="28" t="str">
        <x:v>بوابة المهام</x:v>
      </x:c>
      <x:c r="D7" s="28" t="str">
        <x:v>النطاق الصغير الممتلئ بالتفاعل أفضل من مساحة واسعة فارغة</x:v>
      </x:c>
      <x:c r="E7" s="28" t="str">
        <x:v>دليل/عائق/قرار واحد على الأقل</x:v>
      </x:c>
      <x:c r="F7" s="28" t="str">
        <x:v>موجود حاليًا</x:v>
      </x:c>
      <x:c r="G7" s="28" t="str">
        <x:v>P0</x:v>
      </x:c>
    </x:row>
    <x:row r="8" ht="43" customHeight="1">
      <x:c r="A8" s="28" t="str">
        <x:v>Z-OR-03</x:v>
      </x:c>
      <x:c r="B8" s="28" t="str">
        <x:v>ORIGIN</x:v>
      </x:c>
      <x:c r="C8" s="28" t="str">
        <x:v>أرشيف الأدلة</x:v>
      </x:c>
      <x:c r="D8" s="28" t="str">
        <x:v>النطاق الصغير الممتلئ بالتفاعل أفضل من مساحة واسعة فارغة</x:v>
      </x:c>
      <x:c r="E8" s="28" t="str">
        <x:v>دليل/عائق/قرار واحد على الأقل</x:v>
      </x:c>
      <x:c r="F8" s="28" t="str">
        <x:v>موجود حاليًا</x:v>
      </x:c>
      <x:c r="G8" s="28" t="str">
        <x:v>P0</x:v>
      </x:c>
    </x:row>
    <x:row r="9" ht="43" customHeight="1">
      <x:c r="A9" s="28" t="str">
        <x:v>Z-OR-04</x:v>
      </x:c>
      <x:c r="B9" s="28" t="str">
        <x:v>ORIGIN</x:v>
      </x:c>
      <x:c r="C9" s="28" t="str">
        <x:v>مختبر العلوم</x:v>
      </x:c>
      <x:c r="D9" s="28" t="str">
        <x:v>النطاق الصغير الممتلئ بالتفاعل أفضل من مساحة واسعة فارغة</x:v>
      </x:c>
      <x:c r="E9" s="28" t="str">
        <x:v>دليل/عائق/قرار واحد على الأقل</x:v>
      </x:c>
      <x:c r="F9" s="28" t="str">
        <x:v>موجود حاليًا</x:v>
      </x:c>
      <x:c r="G9" s="28" t="str">
        <x:v>P0</x:v>
      </x:c>
    </x:row>
    <x:row r="10" ht="43" customHeight="1">
      <x:c r="A10" s="28" t="str">
        <x:v>Z-OR-05</x:v>
      </x:c>
      <x:c r="B10" s="28" t="str">
        <x:v>ORIGIN</x:v>
      </x:c>
      <x:c r="C10" s="28" t="str">
        <x:v>متحف الإرث</x:v>
      </x:c>
      <x:c r="D10" s="28" t="str">
        <x:v>النطاق الصغير الممتلئ بالتفاعل أفضل من مساحة واسعة فارغة</x:v>
      </x:c>
      <x:c r="E10" s="28" t="str">
        <x:v>دليل/عائق/قرار واحد على الأقل</x:v>
      </x:c>
      <x:c r="F10" s="28" t="str">
        <x:v>موجود حاليًا</x:v>
      </x:c>
      <x:c r="G10" s="28" t="str">
        <x:v>P0</x:v>
      </x:c>
    </x:row>
    <x:row r="11" ht="43" customHeight="1">
      <x:c r="A11" s="28" t="str">
        <x:v>Z-OR-06</x:v>
      </x:c>
      <x:c r="B11" s="28" t="str">
        <x:v>ORIGIN</x:v>
      </x:c>
      <x:c r="C11" s="28" t="str">
        <x:v>ممر الأسرار</x:v>
      </x:c>
      <x:c r="D11" s="28" t="str">
        <x:v>النطاق الصغير الممتلئ بالتفاعل أفضل من مساحة واسعة فارغة</x:v>
      </x:c>
      <x:c r="E11" s="28" t="str">
        <x:v>دليل/عائق/قرار واحد على الأقل</x:v>
      </x:c>
      <x:c r="F11" s="28" t="str">
        <x:v>مخطط</x:v>
      </x:c>
      <x:c r="G11" s="28" t="str">
        <x:v>P0</x:v>
      </x:c>
    </x:row>
    <x:row r="12" ht="43" customHeight="1">
      <x:c r="A12" s="28" t="str">
        <x:v>Z-ال-01</x:v>
      </x:c>
      <x:c r="B12" s="28" t="str">
        <x:v>القمر</x:v>
      </x:c>
      <x:c r="C12" s="28" t="str">
        <x:v>منطقة الهبوط</x:v>
      </x:c>
      <x:c r="D12" s="28" t="str">
        <x:v>النطاق الصغير الممتلئ بالتفاعل أفضل من مساحة واسعة فارغة</x:v>
      </x:c>
      <x:c r="E12" s="28" t="str">
        <x:v>دليل/عائق/قرار واحد على الأقل</x:v>
      </x:c>
      <x:c r="F12" s="28" t="str">
        <x:v>موجود حاليًا</x:v>
      </x:c>
      <x:c r="G12" s="28" t="str">
        <x:v>P0</x:v>
      </x:c>
    </x:row>
    <x:row r="13" ht="43" customHeight="1">
      <x:c r="A13" s="28" t="str">
        <x:v>Z-ال-02</x:v>
      </x:c>
      <x:c r="B13" s="28" t="str">
        <x:v>القمر</x:v>
      </x:c>
      <x:c r="C13" s="28" t="str">
        <x:v>موقع العربة</x:v>
      </x:c>
      <x:c r="D13" s="28" t="str">
        <x:v>النطاق الصغير الممتلئ بالتفاعل أفضل من مساحة واسعة فارغة</x:v>
      </x:c>
      <x:c r="E13" s="28" t="str">
        <x:v>دليل/عائق/قرار واحد على الأقل</x:v>
      </x:c>
      <x:c r="F13" s="28" t="str">
        <x:v>موجود حاليًا</x:v>
      </x:c>
      <x:c r="G13" s="28" t="str">
        <x:v>P0</x:v>
      </x:c>
    </x:row>
    <x:row r="14" ht="43" customHeight="1">
      <x:c r="A14" s="28" t="str">
        <x:v>Z-ال-03</x:v>
      </x:c>
      <x:c r="B14" s="28" t="str">
        <x:v>القمر</x:v>
      </x:c>
      <x:c r="C14" s="28" t="str">
        <x:v>مرتفعات الصخور</x:v>
      </x:c>
      <x:c r="D14" s="28" t="str">
        <x:v>النطاق الصغير الممتلئ بالتفاعل أفضل من مساحة واسعة فارغة</x:v>
      </x:c>
      <x:c r="E14" s="28" t="str">
        <x:v>دليل/عائق/قرار واحد على الأقل</x:v>
      </x:c>
      <x:c r="F14" s="28" t="str">
        <x:v>موجود حاليًا</x:v>
      </x:c>
      <x:c r="G14" s="28" t="str">
        <x:v>P0</x:v>
      </x:c>
    </x:row>
    <x:row r="15" ht="43" customHeight="1">
      <x:c r="A15" s="28" t="str">
        <x:v>Z-ال-04</x:v>
      </x:c>
      <x:c r="B15" s="28" t="str">
        <x:v>القمر</x:v>
      </x:c>
      <x:c r="C15" s="28" t="str">
        <x:v>محطة الأدلة</x:v>
      </x:c>
      <x:c r="D15" s="28" t="str">
        <x:v>النطاق الصغير الممتلئ بالتفاعل أفضل من مساحة واسعة فارغة</x:v>
      </x:c>
      <x:c r="E15" s="28" t="str">
        <x:v>دليل/عائق/قرار واحد على الأقل</x:v>
      </x:c>
      <x:c r="F15" s="28" t="str">
        <x:v>موجود حاليًا</x:v>
      </x:c>
      <x:c r="G15" s="28" t="str">
        <x:v>P0</x:v>
      </x:c>
    </x:row>
    <x:row r="16" ht="43" customHeight="1">
      <x:c r="A16" s="28" t="str">
        <x:v>Z-ال-05</x:v>
      </x:c>
      <x:c r="B16" s="28" t="str">
        <x:v>القمر</x:v>
      </x:c>
      <x:c r="C16" s="28" t="str">
        <x:v>المسار الآمن</x:v>
      </x:c>
      <x:c r="D16" s="28" t="str">
        <x:v>النطاق الصغير الممتلئ بالتفاعل أفضل من مساحة واسعة فارغة</x:v>
      </x:c>
      <x:c r="E16" s="28" t="str">
        <x:v>دليل/عائق/قرار واحد على الأقل</x:v>
      </x:c>
      <x:c r="F16" s="28" t="str">
        <x:v>موجود حاليًا</x:v>
      </x:c>
      <x:c r="G16" s="28" t="str">
        <x:v>P0</x:v>
      </x:c>
    </x:row>
    <x:row r="17" ht="43" customHeight="1">
      <x:c r="A17" s="28" t="str">
        <x:v>Z-ال-06</x:v>
      </x:c>
      <x:c r="B17" s="28" t="str">
        <x:v>القمر</x:v>
      </x:c>
      <x:c r="C17" s="28" t="str">
        <x:v>مسار التلال</x:v>
      </x:c>
      <x:c r="D17" s="28" t="str">
        <x:v>النطاق الصغير الممتلئ بالتفاعل أفضل من مساحة واسعة فارغة</x:v>
      </x:c>
      <x:c r="E17" s="28" t="str">
        <x:v>دليل/عائق/قرار واحد على الأقل</x:v>
      </x:c>
      <x:c r="F17" s="28" t="str">
        <x:v>موجود حاليًا</x:v>
      </x:c>
      <x:c r="G17" s="28" t="str">
        <x:v>P0</x:v>
      </x:c>
    </x:row>
    <x:row r="18" ht="43" customHeight="1">
      <x:c r="A18" s="28" t="str">
        <x:v>Z-ال-07</x:v>
      </x:c>
      <x:c r="B18" s="28" t="str">
        <x:v>القمر</x:v>
      </x:c>
      <x:c r="C18" s="28" t="str">
        <x:v>مسار العلم</x:v>
      </x:c>
      <x:c r="D18" s="28" t="str">
        <x:v>النطاق الصغير الممتلئ بالتفاعل أفضل من مساحة واسعة فارغة</x:v>
      </x:c>
      <x:c r="E18" s="28" t="str">
        <x:v>دليل/عائق/قرار واحد على الأقل</x:v>
      </x:c>
      <x:c r="F18" s="28" t="str">
        <x:v>موجود حاليًا</x:v>
      </x:c>
      <x:c r="G18" s="28" t="str">
        <x:v>P0</x:v>
      </x:c>
    </x:row>
    <x:row r="19" ht="43" customHeight="1">
      <x:c r="A19" s="28" t="str">
        <x:v>Z-ال-08</x:v>
      </x:c>
      <x:c r="B19" s="28" t="str">
        <x:v>القمر</x:v>
      </x:c>
      <x:c r="C19" s="28" t="str">
        <x:v>المنارة النهائية</x:v>
      </x:c>
      <x:c r="D19" s="28" t="str">
        <x:v>النطاق الصغير الممتلئ بالتفاعل أفضل من مساحة واسعة فارغة</x:v>
      </x:c>
      <x:c r="E19" s="28" t="str">
        <x:v>دليل/عائق/قرار واحد على الأقل</x:v>
      </x:c>
      <x:c r="F19" s="28" t="str">
        <x:v>موجود حاليًا</x:v>
      </x:c>
      <x:c r="G19" s="28" t="str">
        <x:v>P0</x:v>
      </x:c>
    </x:row>
    <x:row r="20" ht="43" customHeight="1">
      <x:c r="A20" s="28" t="str">
        <x:v>Z-ال-09</x:v>
      </x:c>
      <x:c r="B20" s="28" t="str">
        <x:v>القمر</x:v>
      </x:c>
      <x:c r="C20" s="28" t="str">
        <x:v>مختبر العينات</x:v>
      </x:c>
      <x:c r="D20" s="28" t="str">
        <x:v>النطاق الصغير الممتلئ بالتفاعل أفضل من مساحة واسعة فارغة</x:v>
      </x:c>
      <x:c r="E20" s="28" t="str">
        <x:v>دليل/عائق/قرار واحد على الأقل</x:v>
      </x:c>
      <x:c r="F20" s="28" t="str">
        <x:v>موجود حاليًا</x:v>
      </x:c>
      <x:c r="G20" s="28" t="str">
        <x:v>P0</x:v>
      </x:c>
    </x:row>
    <x:row r="21" ht="43" customHeight="1">
      <x:c r="A21" s="28" t="str">
        <x:v>Z-ال-01</x:v>
      </x:c>
      <x:c r="B21" s="28" t="str">
        <x:v>المريخ</x:v>
      </x:c>
      <x:c r="C21" s="28" t="str">
        <x:v>ممر العاصفة</x:v>
      </x:c>
      <x:c r="D21" s="28" t="str">
        <x:v>النطاق الصغير الممتلئ بالتفاعل أفضل من مساحة واسعة فارغة</x:v>
      </x:c>
      <x:c r="E21" s="28" t="str">
        <x:v>دليل/عائق/قرار واحد على الأقل</x:v>
      </x:c>
      <x:c r="F21" s="28" t="str">
        <x:v>موجود حاليًا</x:v>
      </x:c>
      <x:c r="G21" s="28" t="str">
        <x:v>P0</x:v>
      </x:c>
    </x:row>
    <x:row r="22" ht="43" customHeight="1">
      <x:c r="A22" s="28" t="str">
        <x:v>Z-ال-02</x:v>
      </x:c>
      <x:c r="B22" s="28" t="str">
        <x:v>المريخ</x:v>
      </x:c>
      <x:c r="C22" s="28" t="str">
        <x:v>لوحة الألواح الشمسية</x:v>
      </x:c>
      <x:c r="D22" s="28" t="str">
        <x:v>النطاق الصغير الممتلئ بالتفاعل أفضل من مساحة واسعة فارغة</x:v>
      </x:c>
      <x:c r="E22" s="28" t="str">
        <x:v>دليل/عائق/قرار واحد على الأقل</x:v>
      </x:c>
      <x:c r="F22" s="28" t="str">
        <x:v>موجود حاليًا</x:v>
      </x:c>
      <x:c r="G22" s="28" t="str">
        <x:v>P0</x:v>
      </x:c>
    </x:row>
    <x:row r="23" ht="43" customHeight="1">
      <x:c r="A23" s="28" t="str">
        <x:v>Z-ال-03</x:v>
      </x:c>
      <x:c r="B23" s="28" t="str">
        <x:v>المريخ</x:v>
      </x:c>
      <x:c r="C23" s="28" t="str">
        <x:v>مركز الاتصال</x:v>
      </x:c>
      <x:c r="D23" s="28" t="str">
        <x:v>النطاق الصغير الممتلئ بالتفاعل أفضل من مساحة واسعة فارغة</x:v>
      </x:c>
      <x:c r="E23" s="28" t="str">
        <x:v>دليل/عائق/قرار واحد على الأقل</x:v>
      </x:c>
      <x:c r="F23" s="28" t="str">
        <x:v>موجود حاليًا</x:v>
      </x:c>
      <x:c r="G23" s="28" t="str">
        <x:v>P0</x:v>
      </x:c>
    </x:row>
    <x:row r="24" ht="43" customHeight="1">
      <x:c r="A24" s="28" t="str">
        <x:v>Z-ال-04</x:v>
      </x:c>
      <x:c r="B24" s="28" t="str">
        <x:v>المريخ</x:v>
      </x:c>
      <x:c r="C24" s="28" t="str">
        <x:v>منطقة الصخور</x:v>
      </x:c>
      <x:c r="D24" s="28" t="str">
        <x:v>النطاق الصغير الممتلئ بالتفاعل أفضل من مساحة واسعة فارغة</x:v>
      </x:c>
      <x:c r="E24" s="28" t="str">
        <x:v>دليل/عائق/قرار واحد على الأقل</x:v>
      </x:c>
      <x:c r="F24" s="28" t="str">
        <x:v>موجود حاليًا</x:v>
      </x:c>
      <x:c r="G24" s="28" t="str">
        <x:v>P0</x:v>
      </x:c>
    </x:row>
    <x:row r="25" ht="43" customHeight="1">
      <x:c r="A25" s="28" t="str">
        <x:v>Z-ال-05</x:v>
      </x:c>
      <x:c r="B25" s="28" t="str">
        <x:v>المريخ</x:v>
      </x:c>
      <x:c r="C25" s="28" t="str">
        <x:v>عرض التاريخ</x:v>
      </x:c>
      <x:c r="D25" s="28" t="str">
        <x:v>النطاق الصغير الممتلئ بالتفاعل أفضل من مساحة واسعة فارغة</x:v>
      </x:c>
      <x:c r="E25" s="28" t="str">
        <x:v>دليل/عائق/قرار واحد على الأقل</x:v>
      </x:c>
      <x:c r="F25" s="28" t="str">
        <x:v>موجود حاليًا</x:v>
      </x:c>
      <x:c r="G25" s="28" t="str">
        <x:v>P0</x:v>
      </x:c>
    </x:row>
    <x:row r="26" ht="43" customHeight="1">
      <x:c r="A26" s="28" t="str">
        <x:v>Z-ال-06</x:v>
      </x:c>
      <x:c r="B26" s="28" t="str">
        <x:v>المريخ</x:v>
      </x:c>
      <x:c r="C26" s="28" t="str">
        <x:v>متحف Opportunity</x:v>
      </x:c>
      <x:c r="D26" s="28" t="str">
        <x:v>النطاق الصغير الممتلئ بالتفاعل أفضل من مساحة واسعة فارغة</x:v>
      </x:c>
      <x:c r="E26" s="28" t="str">
        <x:v>دليل/عائق/قرار واحد على الأقل</x:v>
      </x:c>
      <x:c r="F26" s="28" t="str">
        <x:v>موجود حاليًا</x:v>
      </x:c>
      <x:c r="G26" s="28" t="str">
        <x:v>P0</x:v>
      </x:c>
    </x:row>
    <x:row r="27" ht="43" customHeight="1">
      <x:c r="A27" s="28" t="str">
        <x:v>Z-مس-01</x:v>
      </x:c>
      <x:c r="B27" s="28" t="str">
        <x:v>مستقبلي</x:v>
      </x:c>
      <x:c r="C27" s="28" t="str">
        <x:v>مجس InSight</x:v>
      </x:c>
      <x:c r="D27" s="28" t="str">
        <x:v>النطاق الصغير الممتلئ بالتفاعل أفضل من مساحة واسعة فارغة</x:v>
      </x:c>
      <x:c r="E27" s="28" t="str">
        <x:v>دليل/عائق/قرار واحد على الأقل</x:v>
      </x:c>
      <x:c r="F27" s="28" t="str">
        <x:v>مخطط</x:v>
      </x:c>
      <x:c r="G27" s="28" t="str">
        <x:v>P2</x:v>
      </x:c>
    </x:row>
    <x:row r="28" ht="43" customHeight="1">
      <x:c r="A28" s="28" t="str">
        <x:v>Z-مس-02</x:v>
      </x:c>
      <x:c r="B28" s="28" t="str">
        <x:v>مستقبلي</x:v>
      </x:c>
      <x:c r="C28" s="28" t="str">
        <x:v>أرض Spirit</x:v>
      </x:c>
      <x:c r="D28" s="28" t="str">
        <x:v>النطاق الصغير الممتلئ بالتفاعل أفضل من مساحة واسعة فارغة</x:v>
      </x:c>
      <x:c r="E28" s="28" t="str">
        <x:v>دليل/عائق/قرار واحد على الأقل</x:v>
      </x:c>
      <x:c r="F28" s="28" t="str">
        <x:v>مخطط</x:v>
      </x:c>
      <x:c r="G28" s="28" t="str">
        <x:v>P2</x:v>
      </x:c>
    </x:row>
    <x:row r="29" ht="43" customHeight="1">
      <x:c r="A29" s="28" t="str">
        <x:v>Z-مس-03</x:v>
      </x:c>
      <x:c r="B29" s="28" t="str">
        <x:v>مستقبلي</x:v>
      </x:c>
      <x:c r="C29" s="28" t="str">
        <x:v>موقع Phoenix</x:v>
      </x:c>
      <x:c r="D29" s="28" t="str">
        <x:v>النطاق الصغير الممتلئ بالتفاعل أفضل من مساحة واسعة فارغة</x:v>
      </x:c>
      <x:c r="E29" s="28" t="str">
        <x:v>دليل/عائق/قرار واحد على الأقل</x:v>
      </x:c>
      <x:c r="F29" s="28" t="str">
        <x:v>مخطط</x:v>
      </x:c>
      <x:c r="G29" s="28" t="str">
        <x:v>P2</x:v>
      </x:c>
    </x:row>
    <x:row r="30" ht="43" customHeight="1">
      <x:c r="A30" s="28" t="str">
        <x:v>Z-مس-04</x:v>
      </x:c>
      <x:c r="B30" s="28" t="str">
        <x:v>مستقبلي</x:v>
      </x:c>
      <x:c r="C30" s="28" t="str">
        <x:v>Apollo 17 Hadley? — لا تستخدم الموقع هنا</x:v>
      </x:c>
      <x:c r="D30" s="28" t="str">
        <x:v>النطاق الصغير الممتلئ بالتفاعل أفضل من مساحة واسعة فارغة</x:v>
      </x:c>
      <x:c r="E30" s="28" t="str">
        <x:v>دليل/عائق/قرار واحد على الأقل</x:v>
      </x:c>
      <x:c r="F30" s="28" t="str">
        <x:v>مخطط</x:v>
      </x:c>
      <x:c r="G30" s="28" t="str">
        <x:v>P2</x:v>
      </x:c>
    </x:row>
  </x:sheetData>
  <x:mergeCells>
    <x:mergeCell ref="A1:G1"/>
    <x:mergeCell ref="A2:G2"/>
    <x:mergeCell ref="A3:G3"/>
  </x:mergeCells>
  <x:conditionalFormatting sqref="F6:F30">
    <x:cfRule type="expression" dxfId="41" priority="1">
      <x:formula>F6="مكتمل"</x:formula>
    </x:cfRule>
    <x:cfRule type="expression" dxfId="42" priority="2">
      <x:formula>F6="محظور حتى التحقق"</x:formula>
    </x:cfRule>
    <x:cfRule type="expression" dxfId="43" priority="3">
      <x:formula>F6="يحتاج تحقق"</x:formula>
    </x:cfRule>
  </x:conditionalFormatting>
  <x:conditionalFormatting sqref="G6:G30">
    <x:cfRule type="expression" dxfId="44" priority="4">
      <x:formula>G6="P0"</x:formula>
    </x:cfRule>
    <x:cfRule type="expression" dxfId="45" priority="5">
      <x:formula>G6="حرج"</x:formula>
    </x:cfRule>
  </x:conditionalFormatting>
  <x:dataValidations count="1">
    <x:dataValidation type="list" sqref="F6:F30">
      <x:formula1>"موجود حاليًا,قيد التطوير,مخطط,يحتاج تحقق,مكتمل,لم يبدأ,مؤجل,محظور حتى التحقق,غير منطبق"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51" hidden="0" customWidth="1"/>
    <x:col min="3" max="3" width="66" hidden="0" customWidth="1"/>
    <x:col min="4" max="4" width="32" hidden="0" customWidth="1"/>
    <x:col min="5" max="5" width="74" hidden="0" customWidth="1"/>
    <x:col min="6" max="6" width="20" hidden="0" customWidth="1"/>
    <x:col min="7" max="7" width="13" hidden="0" customWidth="1"/>
    <x:col min="8" max="8" width="22" hidden="0" customWidth="1"/>
  </x:cols>
  <x:sheetData>
    <x:row r="1" ht="38" customHeight="1">
      <x:c r="A1" s="4" t="str">
        <x:v>التعلم وقياس الأثر</x:v>
      </x:c>
      <x:c r="B1" s="4"/>
      <x:c r="C1" s="4"/>
      <x:c r="D1" s="4"/>
      <x:c r="E1" s="4"/>
      <x:c r="F1" s="4"/>
      <x:c r="G1" s="4"/>
      <x:c r="H1" s="4"/>
    </x:row>
    <x:row r="2" ht="29" customHeight="1">
      <x:c r="A2" s="10" t="str">
        <x:v>نحو تعليم يمكن قياسه؛ لا توجد بيانات تعليم فعلي قبل إجراء تجربة مستخدم</x:v>
      </x:c>
      <x:c r="B2" s="10"/>
      <x:c r="C2" s="10"/>
      <x:c r="D2" s="10"/>
      <x:c r="E2" s="10"/>
      <x:c r="F2" s="10"/>
      <x:c r="G2" s="10"/>
      <x:c r="H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  <x:c r="H3" s="15"/>
    </x:row>
    <x:row r="5" ht="34" customHeight="1">
      <x:c r="A5" s="21" t="str">
        <x:v>ID</x:v>
      </x:c>
      <x:c r="B5" s="21" t="str">
        <x:v>هدف التعلم</x:v>
      </x:c>
      <x:c r="C5" s="21" t="str">
        <x:v>الدليل السلوكي</x:v>
      </x:c>
      <x:c r="D5" s="21" t="str">
        <x:v>أين يُختبر</x:v>
      </x:c>
      <x:c r="E5" s="21" t="str">
        <x:v>سؤال/مؤشر</x:v>
      </x:c>
      <x:c r="F5" s="21" t="str">
        <x:v>المصدر</x:v>
      </x:c>
      <x:c r="G5" s="21" t="str">
        <x:v>الأولوية</x:v>
      </x:c>
      <x:c r="H5" s="21" t="str">
        <x:v>قياس فعلي</x:v>
      </x:c>
    </x:row>
    <x:row r="6" ht="43" customHeight="1">
      <x:c r="A6" s="28" t="str">
        <x:v>LO01</x:v>
      </x:c>
      <x:c r="B6" s="28" t="str">
        <x:v>عرف جهاز Apollo 15 LRV</x:v>
      </x:c>
      <x:c r="C6" s="28" t="str">
        <x:v>يحدد الاسم والغرض الأساسي</x:v>
      </x:c>
      <x:c r="D6" s="28" t="str">
        <x:v>قبل/بعد</x:v>
      </x:c>
      <x:c r="E6" s="28" t="str">
        <x:v>سؤال: ما وظيفة الروفر؟</x:v>
      </x:c>
      <x:c r="F6" s="28" t="str">
        <x:v>S05</x:v>
      </x:c>
      <x:c r="G6" s="28" t="str">
        <x:v>P0</x:v>
      </x:c>
      <x:c r="H6" s="28" t="str">
        <x:v>لم يُختبر</x:v>
      </x:c>
    </x:row>
    <x:row r="7" ht="43" customHeight="1">
      <x:c r="A7" s="28" t="str">
        <x:v>LO02</x:v>
      </x:c>
      <x:c r="B7" s="28" t="str">
        <x:v>اشرح توسع التنقل</x:v>
      </x:c>
      <x:c r="C7" s="28" t="str">
        <x:v>يذكر مسافة ووقتًا وفرص عينات</x:v>
      </x:c>
      <x:c r="D7" s="28" t="str">
        <x:v>رابط أدلة</x:v>
      </x:c>
      <x:c r="E7" s="28" t="str">
        <x:v>اربط mobility→science</x:v>
      </x:c>
      <x:c r="F7" s="28" t="str">
        <x:v>S05</x:v>
      </x:c>
      <x:c r="G7" s="28" t="str">
        <x:v>P0</x:v>
      </x:c>
      <x:c r="H7" s="28" t="str">
        <x:v>لم يُختبر</x:v>
      </x:c>
    </x:row>
    <x:row r="8" ht="43" customHeight="1">
      <x:c r="A8" s="28" t="str">
        <x:v>LO03</x:v>
      </x:c>
      <x:c r="B8" s="28" t="str">
        <x:v>ميّز التاريخ من اللعبة</x:v>
      </x:c>
      <x:c r="C8" s="28" t="str">
        <x:v>يصنف الطريق الافتراضي ولا ينسبه لبعثة حقيقية</x:v>
      </x:c>
      <x:c r="D8" s="28" t="str">
        <x:v>تصنيف مصدر</x:v>
      </x:c>
      <x:c r="E8" s="28" t="str">
        <x:v>حدد simulation vs fact</x:v>
      </x:c>
      <x:c r="F8" s="28" t="str">
        <x:v>S06</x:v>
      </x:c>
      <x:c r="G8" s="28" t="str">
        <x:v>P0</x:v>
      </x:c>
      <x:c r="H8" s="28" t="str">
        <x:v>لم يُختبر</x:v>
      </x:c>
    </x:row>
    <x:row r="9" ht="43" customHeight="1">
      <x:c r="A9" s="28" t="str">
        <x:v>LO04</x:v>
      </x:c>
      <x:c r="B9" s="28" t="str">
        <x:v>طبّق زمن الانتقال</x:v>
      </x:c>
      <x:c r="C9" s="28" t="str">
        <x:v>t=d/v بوحدات صحيحة</x:v>
      </x:c>
      <x:c r="D9" s="28" t="str">
        <x:v>محاكاة</x:v>
      </x:c>
      <x:c r="E9" s="28" t="str">
        <x:v>مسار 1.2km، سرعة 6km/h =12min</x:v>
      </x:c>
      <x:c r="F9" s="28" t="str">
        <x:v>تعليمي</x:v>
      </x:c>
      <x:c r="G9" s="28" t="str">
        <x:v>P0</x:v>
      </x:c>
      <x:c r="H9" s="28" t="str">
        <x:v>لم يُختبر</x:v>
      </x:c>
    </x:row>
    <x:row r="10" ht="43" customHeight="1">
      <x:c r="A10" s="28" t="str">
        <x:v>LO05</x:v>
      </x:c>
      <x:c r="B10" s="28" t="str">
        <x:v>وازن وقت الزيارة</x:v>
      </x:c>
      <x:c r="C10" s="28" t="str">
        <x:v>الزمن المتبقي بعد النقل</x:v>
      </x:c>
      <x:c r="D10" s="28" t="str">
        <x:v>تجربة زمن</x:v>
      </x:c>
      <x:c r="E10" s="28" t="str">
        <x:v>حدد مواقع يمكن فحصها</x:v>
      </x:c>
      <x:c r="F10" s="28" t="str">
        <x:v>تعليمي</x:v>
      </x:c>
      <x:c r="G10" s="28" t="str">
        <x:v>P0</x:v>
      </x:c>
      <x:c r="H10" s="28" t="str">
        <x:v>لم يُختبر</x:v>
      </x:c>
    </x:row>
    <x:row r="11" ht="43" customHeight="1">
      <x:c r="A11" s="28" t="str">
        <x:v>LO06</x:v>
      </x:c>
      <x:c r="B11" s="28" t="str">
        <x:v>استنتج من الأدلة</x:v>
      </x:c>
      <x:c r="C11" s="28" t="str">
        <x:v>يربط دليلين أو أكثر</x:v>
      </x:c>
      <x:c r="D11" s="28" t="str">
        <x:v>خاتمة القمر</x:v>
      </x:c>
      <x:c r="E11" s="28" t="str">
        <x:v>شرح شفهي مفتوح</x:v>
      </x:c>
      <x:c r="F11" s="28" t="str">
        <x:v>S05</x:v>
      </x:c>
      <x:c r="G11" s="28" t="str">
        <x:v>P0</x:v>
      </x:c>
      <x:c r="H11" s="28" t="str">
        <x:v>لم يُختبر</x:v>
      </x:c>
    </x:row>
    <x:row r="12" ht="43" customHeight="1">
      <x:c r="A12" s="28" t="str">
        <x:v>LO07</x:v>
      </x:c>
      <x:c r="B12" s="28" t="str">
        <x:v>فسر طاقة الشمس</x:v>
      </x:c>
      <x:c r="C12" s="28" t="str">
        <x:v>إنتاجها يتغير بالغبار</x:v>
      </x:c>
      <x:c r="D12" s="28" t="str">
        <x:v>Opportunity</x:v>
      </x:c>
      <x:c r="E12" s="28" t="str">
        <x:v>اختر أي يوم يتأثر بالتوليد</x:v>
      </x:c>
      <x:c r="F12" s="28" t="str">
        <x:v>S25</x:v>
      </x:c>
      <x:c r="G12" s="28" t="str">
        <x:v>P0</x:v>
      </x:c>
      <x:c r="H12" s="28" t="str">
        <x:v>لم يُختبر</x:v>
      </x:c>
    </x:row>
    <x:row r="13" ht="43" customHeight="1">
      <x:c r="A13" s="28" t="str">
        <x:v>LO08</x:v>
      </x:c>
      <x:c r="B13" s="28" t="str">
        <x:v>وازن مصادر واستهلاك</x:v>
      </x:c>
      <x:c r="C13" s="28" t="str">
        <x:v>E_next=clamp(E+Gin−Cout)</x:v>
      </x:c>
      <x:c r="D13" s="28" t="str">
        <x:v>مريخ</x:v>
      </x:c>
      <x:c r="E13" s="28" t="str">
        <x:v>هل تكفي الطاقة؟</x:v>
      </x:c>
      <x:c r="F13" s="28" t="str">
        <x:v>تعليمي</x:v>
      </x:c>
      <x:c r="G13" s="28" t="str">
        <x:v>P0</x:v>
      </x:c>
      <x:c r="H13" s="28" t="str">
        <x:v>لم يُختبر</x:v>
      </x:c>
    </x:row>
    <x:row r="14" ht="43" customHeight="1">
      <x:c r="A14" s="28" t="str">
        <x:v>LO09</x:v>
      </x:c>
      <x:c r="B14" s="28" t="str">
        <x:v>احذر الرسائل المختلقة</x:v>
      </x:c>
      <x:c r="C14" s="28" t="str">
        <x:v>لا يدعي أن Opportunity تكلمت</x:v>
      </x:c>
      <x:c r="D14" s="28" t="str">
        <x:v>المتحف</x:v>
      </x:c>
      <x:c r="E14" s="28" t="str">
        <x:v>ماذا تعني آخر صورة؟</x:v>
      </x:c>
      <x:c r="F14" s="28" t="str">
        <x:v>S12</x:v>
      </x:c>
      <x:c r="G14" s="28" t="str">
        <x:v>P0</x:v>
      </x:c>
      <x:c r="H14" s="28" t="str">
        <x:v>لم يُختبر</x:v>
      </x:c>
    </x:row>
    <x:row r="15" ht="43" customHeight="1">
      <x:c r="A15" s="28" t="str">
        <x:v>LO10</x:v>
      </x:c>
      <x:c r="B15" s="28" t="str">
        <x:v>عرف تاريخ انتهاء Opportunity</x:v>
      </x:c>
      <x:c r="C15" s="28" t="str">
        <x:v>آخر اتصال 2018/انتهاء 2019</x:v>
      </x:c>
      <x:c r="D15" s="28" t="str">
        <x:v>متحف</x:v>
      </x:c>
      <x:c r="E15" s="28" t="str">
        <x:v>تمييز التاريخين</x:v>
      </x:c>
      <x:c r="F15" s="28" t="str">
        <x:v>S09</x:v>
      </x:c>
      <x:c r="G15" s="28" t="str">
        <x:v>P0</x:v>
      </x:c>
      <x:c r="H15" s="28" t="str">
        <x:v>لم يُختبر</x:v>
      </x:c>
    </x:row>
    <x:row r="16" ht="43" customHeight="1">
      <x:c r="A16" s="28" t="str">
        <x:v>LO11</x:v>
      </x:c>
      <x:c r="B16" s="28" t="str">
        <x:v>عرّف جهاز InSight</x:v>
      </x:c>
      <x:c r="C16" s="28" t="str">
        <x:v>SEIS لرصد الاهتزازات</x:v>
      </x:c>
      <x:c r="D16" s="28" t="str">
        <x:v>مستقبلي</x:v>
      </x:c>
      <x:c r="E16" s="28" t="str">
        <x:v>تسمية أداة</x:v>
      </x:c>
      <x:c r="F16" s="28" t="str">
        <x:v>S11</x:v>
      </x:c>
      <x:c r="G16" s="28" t="str">
        <x:v>P1</x:v>
      </x:c>
      <x:c r="H16" s="28" t="str">
        <x:v>لم يُختبر</x:v>
      </x:c>
    </x:row>
    <x:row r="17" ht="43" customHeight="1">
      <x:c r="A17" s="28" t="str">
        <x:v>LO12</x:v>
      </x:c>
      <x:c r="B17" s="28" t="str">
        <x:v>استخرج إشارة مفيدة</x:v>
      </x:c>
      <x:c r="C17" s="28" t="str">
        <x:v>مرشح مبسط ببيان مصدر</x:v>
      </x:c>
      <x:c r="D17" s="28" t="str">
        <x:v>مستقبلي</x:v>
      </x:c>
      <x:c r="E17" s="28" t="str">
        <x:v>استنتاج بين ضوضاء وزلزال</x:v>
      </x:c>
      <x:c r="F17" s="28" t="str">
        <x:v>S11</x:v>
      </x:c>
      <x:c r="G17" s="28" t="str">
        <x:v>P1</x:v>
      </x:c>
      <x:c r="H17" s="28" t="str">
        <x:v>لم يُختبر</x:v>
      </x:c>
    </x:row>
    <x:row r="18" ht="43" customHeight="1">
      <x:c r="A18" s="28" t="str">
        <x:v>LO13</x:v>
      </x:c>
      <x:c r="B18" s="28" t="str">
        <x:v>استخدم أداة رقمية</x:v>
      </x:c>
      <x:c r="C18" s="28" t="str">
        <x:v>تعامل مع الأدلة والخرائط</x:v>
      </x:c>
      <x:c r="D18" s="28" t="str">
        <x:v>كل الفصول</x:v>
      </x:c>
      <x:c r="E18" s="28" t="str">
        <x:v>فحص سلوك التفاعل</x:v>
      </x:c>
      <x:c r="F18" s="28" t="str">
        <x:v>داخلي</x:v>
      </x:c>
      <x:c r="G18" s="28" t="str">
        <x:v>P1</x:v>
      </x:c>
      <x:c r="H18" s="28" t="str">
        <x:v>لم يُختبر</x:v>
      </x:c>
    </x:row>
    <x:row r="19" ht="43" customHeight="1">
      <x:c r="A19" s="28" t="str">
        <x:v>LO14</x:v>
      </x:c>
      <x:c r="B19" s="28" t="str">
        <x:v>قرّر تحت قيود</x:v>
      </x:c>
      <x:c r="C19" s="28" t="str">
        <x:v>اختيار طريق/طاقة</x:v>
      </x:c>
      <x:c r="D19" s="28" t="str">
        <x:v>كل الفصول</x:v>
      </x:c>
      <x:c r="E19" s="28" t="str">
        <x:v>تفسير المفاضلة</x:v>
      </x:c>
      <x:c r="F19" s="28" t="str">
        <x:v>داخلي</x:v>
      </x:c>
      <x:c r="G19" s="28" t="str">
        <x:v>P1</x:v>
      </x:c>
      <x:c r="H19" s="28" t="str">
        <x:v>لم يُختبر</x:v>
      </x:c>
    </x:row>
    <x:row r="20" ht="43" customHeight="1">
      <x:c r="A20" s="28" t="str">
        <x:v>LO15</x:v>
      </x:c>
      <x:c r="B20" s="28" t="str">
        <x:v>تجنب البحث بالصدفة</x:v>
      </x:c>
      <x:c r="C20" s="28" t="str">
        <x:v>تفسير لماذا كانت الإجابة صحيحة</x:v>
      </x:c>
      <x:c r="D20" s="28" t="str">
        <x:v>ألغاز</x:v>
      </x:c>
      <x:c r="E20" s="28" t="str">
        <x:v>سؤال مفتوح</x:v>
      </x:c>
      <x:c r="F20" s="28" t="str">
        <x:v>داخلي</x:v>
      </x:c>
      <x:c r="G20" s="28" t="str">
        <x:v>P1</x:v>
      </x:c>
      <x:c r="H20" s="28" t="str">
        <x:v>لم يُختبر</x:v>
      </x:c>
    </x:row>
    <x:row r="21" ht="43" customHeight="1">
      <x:c r="A21" s="28" t="str">
        <x:v>LO16</x:v>
      </x:c>
      <x:c r="B21" s="28" t="str">
        <x:v>حافظ على سلامة المصدر</x:v>
      </x:c>
      <x:c r="C21" s="28" t="str">
        <x:v>صل كل claim بمصدره</x:v>
      </x:c>
      <x:c r="D21" s="28" t="str">
        <x:v>متحف</x:v>
      </x:c>
      <x:c r="E21" s="28" t="str">
        <x:v>افتح المرجع</x:v>
      </x:c>
      <x:c r="F21" s="28" t="str">
        <x:v>S13</x:v>
      </x:c>
      <x:c r="G21" s="28" t="str">
        <x:v>P1</x:v>
      </x:c>
      <x:c r="H21" s="28" t="str">
        <x:v>لم يُختبر</x:v>
      </x:c>
    </x:row>
    <x:row r="22" ht="43" customHeight="1">
      <x:c r="A22" s="28" t="str">
        <x:v>LO17</x:v>
      </x:c>
      <x:c r="B22" s="28" t="str">
        <x:v>طبق وحدات علمية</x:v>
      </x:c>
      <x:c r="C22" s="28" t="str">
        <x:v>m/km, min/h, Wh</x:v>
      </x:c>
      <x:c r="D22" s="28" t="str">
        <x:v>محاكاة</x:v>
      </x:c>
      <x:c r="E22" s="28" t="str">
        <x:v>اختبار وحدات</x:v>
      </x:c>
      <x:c r="F22" s="28" t="str">
        <x:v>داخلي</x:v>
      </x:c>
      <x:c r="G22" s="28" t="str">
        <x:v>P1</x:v>
      </x:c>
      <x:c r="H22" s="28" t="str">
        <x:v>لم يُختبر</x:v>
      </x:c>
    </x:row>
    <x:row r="23" ht="43" customHeight="1">
      <x:c r="A23" s="28" t="str">
        <x:v>LO18</x:v>
      </x:c>
      <x:c r="B23" s="28" t="str">
        <x:v>تعرّف مجسات الفضاء</x:v>
      </x:c>
      <x:c r="C23" s="28" t="str">
        <x:v>مقارنة الأدوات المختلفة</x:v>
      </x:c>
      <x:c r="D23" s="28" t="str">
        <x:v>المعرض</x:v>
      </x:c>
      <x:c r="E23" s="28" t="str">
        <x:v>مطابقة الجهاز بهدفه</x:v>
      </x:c>
      <x:c r="F23" s="28" t="str">
        <x:v>S05/S11</x:v>
      </x:c>
      <x:c r="G23" s="28" t="str">
        <x:v>P2</x:v>
      </x:c>
      <x:c r="H23" s="28" t="str">
        <x:v>لم يُختبر</x:v>
      </x:c>
    </x:row>
    <x:row r="24" ht="43" customHeight="1">
      <x:c r="A24" s="28" t="str">
        <x:v>LO19</x:v>
      </x:c>
      <x:c r="B24" s="28" t="str">
        <x:v>التمييز بين البيانات</x:v>
      </x:c>
      <x:c r="C24" s="28" t="str">
        <x:v>منحنيات أصلية ومصطنعة</x:v>
      </x:c>
      <x:c r="D24" s="28" t="str">
        <x:v>مستقبلي</x:v>
      </x:c>
      <x:c r="E24" s="28" t="str">
        <x:v>اشرح provenance</x:v>
      </x:c>
      <x:c r="F24" s="28" t="str">
        <x:v>داخلي</x:v>
      </x:c>
      <x:c r="G24" s="28" t="str">
        <x:v>P2</x:v>
      </x:c>
      <x:c r="H24" s="28" t="str">
        <x:v>لم يُختبر</x:v>
      </x:c>
    </x:row>
    <x:row r="25" ht="43" customHeight="1">
      <x:c r="A25" s="28" t="str">
        <x:v>LO20</x:v>
      </x:c>
      <x:c r="B25" s="28" t="str">
        <x:v>اعرض استنتاجًا بلغة بسيطة</x:v>
      </x:c>
      <x:c r="C25" s="28" t="str">
        <x:v>فقرتان دون مصطلحات معقدة</x:v>
      </x:c>
      <x:c r="D25" s="28" t="str">
        <x:v>بعد اللعب</x:v>
      </x:c>
      <x:c r="E25" s="28" t="str">
        <x:v>مقابلة قصيرة</x:v>
      </x:c>
      <x:c r="F25" s="28" t="str">
        <x:v>داخلي</x:v>
      </x:c>
      <x:c r="G25" s="28" t="str">
        <x:v>P2</x:v>
      </x:c>
      <x:c r="H25" s="28" t="str">
        <x:v>لم يُختبر</x:v>
      </x:c>
    </x:row>
  </x:sheetData>
  <x:mergeCells>
    <x:mergeCell ref="A1:H1"/>
    <x:mergeCell ref="A2:H2"/>
    <x:mergeCell ref="A3:H3"/>
  </x:mergeCells>
  <x:conditionalFormatting sqref="G6:G25">
    <x:cfRule type="expression" dxfId="46" priority="1">
      <x:formula>G6="P0"</x:formula>
    </x:cfRule>
    <x:cfRule type="expression" dxfId="47" priority="2">
      <x:formula>G6="حرج"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90" hidden="0" customWidth="1"/>
    <x:col min="3" max="3" width="27" hidden="0" customWidth="1"/>
    <x:col min="4" max="4" width="24" hidden="0" customWidth="1"/>
    <x:col min="5" max="5" width="83" hidden="0" customWidth="1"/>
    <x:col min="6" max="6" width="44" hidden="0" customWidth="1"/>
    <x:col min="7" max="7" width="13" hidden="0" customWidth="1"/>
    <x:col min="8" max="8" width="27" hidden="0" customWidth="1"/>
  </x:cols>
  <x:sheetData>
    <x:row r="1" ht="38" customHeight="1">
      <x:c r="A1" s="4" t="str">
        <x:v>الأدلة العلمية</x:v>
      </x:c>
      <x:c r="B1" s="4"/>
      <x:c r="C1" s="4"/>
      <x:c r="D1" s="4"/>
      <x:c r="E1" s="4"/>
      <x:c r="F1" s="4"/>
      <x:c r="G1" s="4"/>
      <x:c r="H1" s="4"/>
    </x:row>
    <x:row r="2" ht="29" customHeight="1">
      <x:c r="A2" s="10" t="str">
        <x:v>كل ادعاء تاريخي أو معادلة أو افتراض أو خيال مصنف مع المصدر، وحدود الادعاء</x:v>
      </x:c>
      <x:c r="B2" s="10"/>
      <x:c r="C2" s="10"/>
      <x:c r="D2" s="10"/>
      <x:c r="E2" s="10"/>
      <x:c r="F2" s="10"/>
      <x:c r="G2" s="10"/>
      <x:c r="H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  <x:c r="H3" s="15"/>
    </x:row>
    <x:row r="5" ht="34" customHeight="1">
      <x:c r="A5" s="21" t="str">
        <x:v>ID</x:v>
      </x:c>
      <x:c r="B5" s="21" t="str">
        <x:v>الادعاء في المنتج</x:v>
      </x:c>
      <x:c r="C5" s="21" t="str">
        <x:v>نوع الادعاء</x:v>
      </x:c>
      <x:c r="D5" s="21" t="str">
        <x:v>مصدر</x:v>
      </x:c>
      <x:c r="E5" s="21" t="str">
        <x:v>حالة التحقق/التحذير</x:v>
      </x:c>
      <x:c r="F5" s="21" t="str">
        <x:v>موضع الاستخدام</x:v>
      </x:c>
      <x:c r="G5" s="21" t="str">
        <x:v>الأولوية</x:v>
      </x:c>
      <x:c r="H5" s="21" t="str">
        <x:v>نوع الإجراء</x:v>
      </x:c>
    </x:row>
    <x:row r="6" ht="43" customHeight="1">
      <x:c r="A6" s="28" t="str">
        <x:v>CL01</x:v>
      </x:c>
      <x:c r="B6" s="28" t="str">
        <x:v>Apollo 15 كانت أول Apollo تستخدم مركبة قمرية</x:v>
      </x:c>
      <x:c r="C6" s="28" t="str">
        <x:v>حقيقة تاريخية</x:v>
      </x:c>
      <x:c r="D6" s="28" t="str">
        <x:v>S05/S06</x:v>
      </x:c>
      <x:c r="E6" s="28" t="str">
        <x:v>موثق رسميًا</x:v>
      </x:c>
      <x:c r="F6" s="28" t="str">
        <x:v>مقطع شاشة/شرح عربة</x:v>
      </x:c>
      <x:c r="G6" s="28" t="str">
        <x:v>P0</x:v>
      </x:c>
      <x:c r="H6" s="28" t="str">
        <x:v>مراجَع من مصدر عام</x:v>
      </x:c>
    </x:row>
    <x:row r="7" ht="43" customHeight="1">
      <x:c r="A7" s="28" t="str">
        <x:v>CL02</x:v>
      </x:c>
      <x:c r="B7" s="28" t="str">
        <x:v>LRV مركبة كهربائية حملت روادًا ومعدات</x:v>
      </x:c>
      <x:c r="C7" s="28" t="str">
        <x:v>حقيقة تاريخية</x:v>
      </x:c>
      <x:c r="D7" s="28" t="str">
        <x:v>S05/S07</x:v>
      </x:c>
      <x:c r="E7" s="28" t="str">
        <x:v>موثق رسميًا</x:v>
      </x:c>
      <x:c r="F7" s="28" t="str">
        <x:v>وصف المركبة</x:v>
      </x:c>
      <x:c r="G7" s="28" t="str">
        <x:v>P0</x:v>
      </x:c>
      <x:c r="H7" s="28" t="str">
        <x:v>مراجَع من مصدر عام</x:v>
      </x:c>
    </x:row>
    <x:row r="8" ht="43" customHeight="1">
      <x:c r="A8" s="28" t="str">
        <x:v>CL03</x:v>
      </x:c>
      <x:c r="B8" s="28" t="str">
        <x:v>مهمة Apollo 15 قطعت نحو 27.8–27.9 كم بالعربة</x:v>
      </x:c>
      <x:c r="C8" s="28" t="str">
        <x:v>حقيقة تاريخية</x:v>
      </x:c>
      <x:c r="D8" s="28" t="str">
        <x:v>S05/S08</x:v>
      </x:c>
      <x:c r="E8" s="28" t="str">
        <x:v>تفاوت تقريبي بين المصادر؛ استخدم ~27.9 كم</x:v>
      </x:c>
      <x:c r="F8" s="28" t="str">
        <x:v>سجل المهمة</x:v>
      </x:c>
      <x:c r="G8" s="28" t="str">
        <x:v>P0</x:v>
      </x:c>
      <x:c r="H8" s="28" t="str">
        <x:v>مراجَع من مصدر عام</x:v>
      </x:c>
    </x:row>
    <x:row r="9" ht="43" customHeight="1">
      <x:c r="A9" s="28" t="str">
        <x:v>CL04</x:v>
      </x:c>
      <x:c r="B9" s="28" t="str">
        <x:v>دور الحركة زيادة النطاق وفرص العمل الحقلي</x:v>
      </x:c>
      <x:c r="C9" s="28" t="str">
        <x:v>حقيقة تاريخية</x:v>
      </x:c>
      <x:c r="D9" s="28" t="str">
        <x:v>S05/S06</x:v>
      </x:c>
      <x:c r="E9" s="28" t="str">
        <x:v>موثق وصفيًا</x:v>
      </x:c>
      <x:c r="F9" s="28" t="str">
        <x:v>خاتمة القمر</x:v>
      </x:c>
      <x:c r="G9" s="28" t="str">
        <x:v>P0</x:v>
      </x:c>
      <x:c r="H9" s="28" t="str">
        <x:v>مراجَع من مصدر عام</x:v>
      </x:c>
    </x:row>
    <x:row r="10" ht="43" customHeight="1">
      <x:c r="A10" s="28" t="str">
        <x:v>CL05</x:v>
      </x:c>
      <x:c r="B10" s="28" t="str">
        <x:v>مسارات Safe/Ridge/Science حدثت حرفيًا في Apollo 15</x:v>
      </x:c>
      <x:c r="C10" s="28" t="str">
        <x:v>ادعاء لا يجوز طرحه</x:v>
      </x:c>
      <x:c r="D10" s="28" t="str">
        <x:v>لا ينطبق</x:v>
      </x:c>
      <x:c r="E10" s="28" t="str">
        <x:v>رفض: سيناريوهات خيالية</x:v>
      </x:c>
      <x:c r="F10" s="28" t="str">
        <x:v>بطاقة Simulation</x:v>
      </x:c>
      <x:c r="G10" s="28" t="str">
        <x:v>P0</x:v>
      </x:c>
      <x:c r="H10" s="28" t="str">
        <x:v>يحتاج عرض تحذير</x:v>
      </x:c>
    </x:row>
    <x:row r="11" ht="43" customHeight="1">
      <x:c r="A11" s="28" t="str">
        <x:v>CL06</x:v>
      </x:c>
      <x:c r="B11" s="28" t="str">
        <x:v>عادت LRV القديمة للعمل اليوم</x:v>
      </x:c>
      <x:c r="C11" s="28" t="str">
        <x:v>ادعاء لا يجوز طرحه</x:v>
      </x:c>
      <x:c r="D11" s="28" t="str">
        <x:v>S05</x:v>
      </x:c>
      <x:c r="E11" s="28" t="str">
        <x:v>مرفوض تمامًا</x:v>
      </x:c>
      <x:c r="F11" s="28" t="str">
        <x:v>تعليمات المحاكاة</x:v>
      </x:c>
      <x:c r="G11" s="28" t="str">
        <x:v>P0</x:v>
      </x:c>
      <x:c r="H11" s="28" t="str">
        <x:v>يحتاج عرض تحذير</x:v>
      </x:c>
    </x:row>
    <x:row r="12" ht="43" customHeight="1">
      <x:c r="A12" s="28" t="str">
        <x:v>CL07</x:v>
      </x:c>
      <x:c r="B12" s="28" t="str">
        <x:v>السرعة 3 كم/س للمشي على القمر في لعبتنا</x:v>
      </x:c>
      <x:c r="C12" s="28" t="str">
        <x:v>افتراض محاكاة</x:v>
      </x:c>
      <x:c r="D12" s="28" t="str">
        <x:v>لا ينطبق</x:v>
      </x:c>
      <x:c r="E12" s="28" t="str">
        <x:v>رقم تعليمي وليس قياس المهمة</x:v>
      </x:c>
      <x:c r="F12" s="28" t="str">
        <x:v>معمل زمن الرحلة</x:v>
      </x:c>
      <x:c r="G12" s="28" t="str">
        <x:v>P0</x:v>
      </x:c>
      <x:c r="H12" s="28" t="str">
        <x:v>يحتاج عرض تحذير</x:v>
      </x:c>
    </x:row>
    <x:row r="13" ht="43" customHeight="1">
      <x:c r="A13" s="28" t="str">
        <x:v>CL08</x:v>
      </x:c>
      <x:c r="B13" s="28" t="str">
        <x:v>المعادلة الزمن=مسافة/سرعة</x:v>
      </x:c>
      <x:c r="C13" s="28" t="str">
        <x:v>معادلة عامة</x:v>
      </x:c>
      <x:c r="D13" s="28" t="str">
        <x:v>رياضيات عامة</x:v>
      </x:c>
      <x:c r="E13" s="28" t="str">
        <x:v>صحيحة مع وحدات متسقة</x:v>
      </x:c>
      <x:c r="F13" s="28" t="str">
        <x:v>مختبر الزمن</x:v>
      </x:c>
      <x:c r="G13" s="28" t="str">
        <x:v>P0</x:v>
      </x:c>
      <x:c r="H13" s="28" t="str">
        <x:v>يحتاج عرض تحذير</x:v>
      </x:c>
    </x:row>
    <x:row r="14" ht="43" customHeight="1">
      <x:c r="A14" s="28" t="str">
        <x:v>CL09</x:v>
      </x:c>
      <x:c r="B14" s="28" t="str">
        <x:v>جاذبية القمر ~1.62 m/s²</x:v>
      </x:c>
      <x:c r="C14" s="28" t="str">
        <x:v>قيمة نموذجية</x:v>
      </x:c>
      <x:c r="D14" s="28" t="str">
        <x:v>مطلوب NASA مرجع إضافي</x:v>
      </x:c>
      <x:c r="E14" s="28" t="str">
        <x:v>نموذج تقريبي؛ لم تُربط بميزة فعلية</x:v>
      </x:c>
      <x:c r="F14" s="28" t="str">
        <x:v>فيزياء الحركة المستقبلية</x:v>
      </x:c>
      <x:c r="G14" s="28" t="str">
        <x:v>P1</x:v>
      </x:c>
      <x:c r="H14" s="28" t="str">
        <x:v>يحتاج عرض تحذير</x:v>
      </x:c>
    </x:row>
    <x:row r="15" ht="43" customHeight="1">
      <x:c r="A15" s="28" t="str">
        <x:v>CL10</x:v>
      </x:c>
      <x:c r="B15" s="28" t="str">
        <x:v>Opportunity عربة تعمل بالطاقة الشمسية</x:v>
      </x:c>
      <x:c r="C15" s="28" t="str">
        <x:v>حقيقة تاريخية</x:v>
      </x:c>
      <x:c r="D15" s="28" t="str">
        <x:v>S09/S18</x:v>
      </x:c>
      <x:c r="E15" s="28" t="str">
        <x:v>موثق</x:v>
      </x:c>
      <x:c r="F15" s="28" t="str">
        <x:v>متحف المريخ</x:v>
      </x:c>
      <x:c r="G15" s="28" t="str">
        <x:v>P0</x:v>
      </x:c>
      <x:c r="H15" s="28" t="str">
        <x:v>مراجَع من مصدر عام</x:v>
      </x:c>
    </x:row>
    <x:row r="16" ht="43" customHeight="1">
      <x:c r="A16" s="28" t="str">
        <x:v>CL11</x:v>
      </x:c>
      <x:c r="B16" s="28" t="str">
        <x:v>عاصفة غبار 2018 خفضت الإضاءة المتاحة للمركبة</x:v>
      </x:c>
      <x:c r="C16" s="28" t="str">
        <x:v>حقيقة تاريخية</x:v>
      </x:c>
      <x:c r="D16" s="28" t="str">
        <x:v>S09/S25</x:v>
      </x:c>
      <x:c r="E16" s="28" t="str">
        <x:v>موثق</x:v>
      </x:c>
      <x:c r="F16" s="28" t="str">
        <x:v>سرد الطاقة</x:v>
      </x:c>
      <x:c r="G16" s="28" t="str">
        <x:v>P0</x:v>
      </x:c>
      <x:c r="H16" s="28" t="str">
        <x:v>مراجَع من مصدر عام</x:v>
      </x:c>
    </x:row>
    <x:row r="17" ht="43" customHeight="1">
      <x:c r="A17" s="28" t="str">
        <x:v>CL12</x:v>
      </x:c>
      <x:c r="B17" s="28" t="str">
        <x:v>آخر اتصال Opportunity كان 10 يونيو 2018</x:v>
      </x:c>
      <x:c r="C17" s="28" t="str">
        <x:v>حقيقة تاريخية</x:v>
      </x:c>
      <x:c r="D17" s="28" t="str">
        <x:v>S09/S12</x:v>
      </x:c>
      <x:c r="E17" s="28" t="str">
        <x:v>موثق</x:v>
      </x:c>
      <x:c r="F17" s="28" t="str">
        <x:v>المتحف</x:v>
      </x:c>
      <x:c r="G17" s="28" t="str">
        <x:v>P0</x:v>
      </x:c>
      <x:c r="H17" s="28" t="str">
        <x:v>مراجَع من مصدر عام</x:v>
      </x:c>
    </x:row>
    <x:row r="18" ht="43" customHeight="1">
      <x:c r="A18" s="28" t="str">
        <x:v>CL13</x:v>
      </x:c>
      <x:c r="B18" s="28" t="str">
        <x:v>NASA أعلنت انتهاء المهمة 13 فبراير 2019</x:v>
      </x:c>
      <x:c r="C18" s="28" t="str">
        <x:v>حقيقة تاريخية</x:v>
      </x:c>
      <x:c r="D18" s="28" t="str">
        <x:v>S10</x:v>
      </x:c>
      <x:c r="E18" s="28" t="str">
        <x:v>موثق</x:v>
      </x:c>
      <x:c r="F18" s="28" t="str">
        <x:v>المتحف</x:v>
      </x:c>
      <x:c r="G18" s="28" t="str">
        <x:v>P0</x:v>
      </x:c>
      <x:c r="H18" s="28" t="str">
        <x:v>مراجَع من مصدر عام</x:v>
      </x:c>
    </x:row>
    <x:row r="19" ht="43" customHeight="1">
      <x:c r="A19" s="28" t="str">
        <x:v>CL14</x:v>
      </x:c>
      <x:c r="B19" s="28" t="str">
        <x:v>4 أيام Sol في اللعبة تعيد آخر أيام فعلية</x:v>
      </x:c>
      <x:c r="C19" s="28" t="str">
        <x:v>ادعاء لا يجوز طرحه</x:v>
      </x:c>
      <x:c r="D19" s="28" t="str">
        <x:v>لا ينطبق</x:v>
      </x:c>
      <x:c r="E19" s="28" t="str">
        <x:v>سيناريو تعليمي افتراضي</x:v>
      </x:c>
      <x:c r="F19" s="28" t="str">
        <x:v>لوحة الطاقة</x:v>
      </x:c>
      <x:c r="G19" s="28" t="str">
        <x:v>P0</x:v>
      </x:c>
      <x:c r="H19" s="28" t="str">
        <x:v>يحتاج عرض تحذير</x:v>
      </x:c>
    </x:row>
    <x:row r="20" ht="43" customHeight="1">
      <x:c r="A20" s="28" t="str">
        <x:v>CL15</x:v>
      </x:c>
      <x:c r="B20" s="28" t="str">
        <x:v>طاقة نهاية اليوم = مخزون + توليد - استهلاك</x:v>
      </x:c>
      <x:c r="C20" s="28" t="str">
        <x:v>نموذج مبسط</x:v>
      </x:c>
      <x:c r="D20" s="28" t="str">
        <x:v>اشتقاق هندسي عام</x:v>
      </x:c>
      <x:c r="E20" s="28" t="str">
        <x:v>أرقام افتراضية ووحدات ظاهرة</x:v>
      </x:c>
      <x:c r="F20" s="28" t="str">
        <x:v>PZ10–13</x:v>
      </x:c>
      <x:c r="G20" s="28" t="str">
        <x:v>P0</x:v>
      </x:c>
      <x:c r="H20" s="28" t="str">
        <x:v>يحتاج عرض تحذير</x:v>
      </x:c>
    </x:row>
    <x:row r="21" ht="43" customHeight="1">
      <x:c r="A21" s="28" t="str">
        <x:v>CL16</x:v>
      </x:c>
      <x:c r="B21" s="28" t="str">
        <x:v>أرقام dust وWh في اللعبة هي بيانات NASA</x:v>
      </x:c>
      <x:c r="C21" s="28" t="str">
        <x:v>ادعاء لا يجوز طرحه</x:v>
      </x:c>
      <x:c r="D21" s="28" t="str">
        <x:v>لا ينطبق</x:v>
      </x:c>
      <x:c r="E21" s="28" t="str">
        <x:v>توضيح أرقام توضيحية</x:v>
      </x:c>
      <x:c r="F21" s="28" t="str">
        <x:v>لوحة الطاقة</x:v>
      </x:c>
      <x:c r="G21" s="28" t="str">
        <x:v>P0</x:v>
      </x:c>
      <x:c r="H21" s="28" t="str">
        <x:v>يحتاج عرض تحذير</x:v>
      </x:c>
    </x:row>
    <x:row r="22" ht="43" customHeight="1">
      <x:c r="A22" s="28" t="str">
        <x:v>CL17</x:v>
      </x:c>
      <x:c r="B22" s="28" t="str">
        <x:v>NASA InSight وضعت مقياس زلازل على السطح</x:v>
      </x:c>
      <x:c r="C22" s="28" t="str">
        <x:v>حقيقة تاريخية</x:v>
      </x:c>
      <x:c r="D22" s="28" t="str">
        <x:v>S11</x:v>
      </x:c>
      <x:c r="E22" s="28" t="str">
        <x:v>موثق</x:v>
      </x:c>
      <x:c r="F22" s="28" t="str">
        <x:v>فصل InSight مستقبلًا</x:v>
      </x:c>
      <x:c r="G22" s="28" t="str">
        <x:v>P2</x:v>
      </x:c>
      <x:c r="H22" s="28" t="str">
        <x:v>مراجَع من مصدر عام</x:v>
      </x:c>
    </x:row>
    <x:row r="23" ht="43" customHeight="1">
      <x:c r="A23" s="28" t="str">
        <x:v>CL18</x:v>
      </x:c>
      <x:c r="B23" s="28" t="str">
        <x:v>Mission InSight انتهت سنة 2022</x:v>
      </x:c>
      <x:c r="C23" s="28" t="str">
        <x:v>حقيقة تاريخية</x:v>
      </x:c>
      <x:c r="D23" s="28" t="str">
        <x:v>S11</x:v>
      </x:c>
      <x:c r="E23" s="28" t="str">
        <x:v>موثق</x:v>
      </x:c>
      <x:c r="F23" s="28" t="str">
        <x:v>فصل مستقبلي</x:v>
      </x:c>
      <x:c r="G23" s="28" t="str">
        <x:v>P2</x:v>
      </x:c>
      <x:c r="H23" s="28" t="str">
        <x:v>مراجَع من مصدر عام</x:v>
      </x:c>
    </x:row>
    <x:row r="24" ht="43" customHeight="1">
      <x:c r="A24" s="28" t="str">
        <x:v>CL19</x:v>
      </x:c>
      <x:c r="B24" s="28" t="str">
        <x:v>موقع القمر في اللعبة يطابق خريطة أثرية دقيقة</x:v>
      </x:c>
      <x:c r="C24" s="28" t="str">
        <x:v>ادعاء لا يجوز طرحه</x:v>
      </x:c>
      <x:c r="D24" s="28" t="str">
        <x:v>لا ينطبق</x:v>
      </x:c>
      <x:c r="E24" s="28" t="str">
        <x:v>بيئة أسلوبية وليست خرائط دقيقة</x:v>
      </x:c>
      <x:c r="F24" s="28" t="str">
        <x:v>الواجهة</x:v>
      </x:c>
      <x:c r="G24" s="28" t="str">
        <x:v>P0</x:v>
      </x:c>
      <x:c r="H24" s="28" t="str">
        <x:v>يحتاج عرض تحذير</x:v>
      </x:c>
    </x:row>
    <x:row r="25" ht="43" customHeight="1">
      <x:c r="A25" s="28" t="str">
        <x:v>CL20</x:v>
      </x:c>
      <x:c r="B25" s="28" t="str">
        <x:v>ORIGIN محطة حقيقية</x:v>
      </x:c>
      <x:c r="C25" s="28" t="str">
        <x:v>خيال سردي</x:v>
      </x:c>
      <x:c r="D25" s="28" t="str">
        <x:v>لا ينطبق</x:v>
      </x:c>
      <x:c r="E25" s="28" t="str">
        <x:v>خيال مصرح به</x:v>
      </x:c>
      <x:c r="F25" s="28" t="str">
        <x:v>شاشة البداية</x:v>
      </x:c>
      <x:c r="G25" s="28" t="str">
        <x:v>P0</x:v>
      </x:c>
      <x:c r="H25" s="28" t="str">
        <x:v>يحتاج عرض تحذير</x:v>
      </x:c>
    </x:row>
    <x:row r="26" ht="43" customHeight="1">
      <x:c r="A26" s="28" t="str">
        <x:v>CL21</x:v>
      </x:c>
      <x:c r="B26" s="28" t="str">
        <x:v>ECHO مساعد حقيقي يعمل لناسا</x:v>
      </x:c>
      <x:c r="C26" s="28" t="str">
        <x:v>خيال سردي</x:v>
      </x:c>
      <x:c r="D26" s="28" t="str">
        <x:v>لا ينطبق</x:v>
      </x:c>
      <x:c r="E26" s="28" t="str">
        <x:v>خيال مصرح به</x:v>
      </x:c>
      <x:c r="F26" s="28" t="str">
        <x:v>الحوارات</x:v>
      </x:c>
      <x:c r="G26" s="28" t="str">
        <x:v>P0</x:v>
      </x:c>
      <x:c r="H26" s="28" t="str">
        <x:v>يحتاج عرض تحذير</x:v>
      </x:c>
    </x:row>
    <x:row r="27" ht="43" customHeight="1">
      <x:c r="A27" s="28" t="str">
        <x:v>CL22</x:v>
      </x:c>
      <x:c r="B27" s="28" t="str">
        <x:v>Voyager مركبة متروكة على القمر</x:v>
      </x:c>
      <x:c r="C27" s="28" t="str">
        <x:v>ادعاء لا يجوز طرحه</x:v>
      </x:c>
      <x:c r="D27" s="28" t="str">
        <x:v>لا ينطبق</x:v>
      </x:c>
      <x:c r="E27" s="28" t="str">
        <x:v>يجب فصل البعثات المستمرة عن السطحية</x:v>
      </x:c>
      <x:c r="F27" s="28" t="str">
        <x:v>توسعات</x:v>
      </x:c>
      <x:c r="G27" s="28" t="str">
        <x:v>P3</x:v>
      </x:c>
      <x:c r="H27" s="28" t="str">
        <x:v>يحتاج عرض تحذير</x:v>
      </x:c>
    </x:row>
    <x:row r="28" ht="43" customHeight="1">
      <x:c r="A28" s="28" t="str">
        <x:v>CL23</x:v>
      </x:c>
      <x:c r="B28" s="28" t="str">
        <x:v>معدات NASA يمكن استخدامها دون مراجعة حقوق</x:v>
      </x:c>
      <x:c r="C28" s="28" t="str">
        <x:v>ادعاء لا يجوز طرحه</x:v>
      </x:c>
      <x:c r="D28" s="28" t="str">
        <x:v>S13</x:v>
      </x:c>
      <x:c r="E28" s="28" t="str">
        <x:v>ضوابط العلامات ومواد الأطراف الثالثة</x:v>
      </x:c>
      <x:c r="F28" s="28" t="str">
        <x:v>سجل الأصول</x:v>
      </x:c>
      <x:c r="G28" s="28" t="str">
        <x:v>P0</x:v>
      </x:c>
      <x:c r="H28" s="28" t="str">
        <x:v>يحتاج عرض تحذير</x:v>
      </x:c>
    </x:row>
    <x:row r="29" ht="43" customHeight="1">
      <x:c r="A29" s="28" t="str">
        <x:v>CL24</x:v>
      </x:c>
      <x:c r="B29" s="28" t="str">
        <x:v>NASA راجعت أو اعتمدت لعبتنا</x:v>
      </x:c>
      <x:c r="C29" s="28" t="str">
        <x:v>ادعاء لا يجوز طرحه</x:v>
      </x:c>
      <x:c r="D29" s="28" t="str">
        <x:v>S13/S14</x:v>
      </x:c>
      <x:c r="E29" s="28" t="str">
        <x:v>مرفوض دون اعتماد رسمي</x:v>
      </x:c>
      <x:c r="F29" s="28" t="str">
        <x:v>مقدمة المشروع</x:v>
      </x:c>
      <x:c r="G29" s="28" t="str">
        <x:v>P0</x:v>
      </x:c>
      <x:c r="H29" s="28" t="str">
        <x:v>يحتاج عرض تحذير</x:v>
      </x:c>
    </x:row>
  </x:sheetData>
  <x:mergeCells>
    <x:mergeCell ref="A1:H1"/>
    <x:mergeCell ref="A2:H2"/>
    <x:mergeCell ref="A3:H3"/>
  </x:mergeCells>
  <x:conditionalFormatting sqref="G6:G29">
    <x:cfRule type="expression" dxfId="48" priority="1">
      <x:formula>G6="P0"</x:formula>
    </x:cfRule>
    <x:cfRule type="expression" dxfId="49" priority="2">
      <x:formula>G6="حرج"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3e92b52bda94cb2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34" hidden="0" customWidth="1"/>
    <x:col min="4" max="4" width="84" hidden="0" customWidth="1"/>
    <x:col min="5" max="5" width="24" hidden="0" customWidth="1"/>
    <x:col min="6" max="6" width="49" hidden="0" customWidth="1"/>
    <x:col min="7" max="7" width="79" hidden="0" customWidth="1"/>
    <x:col min="8" max="8" width="18" hidden="0" customWidth="1"/>
    <x:col min="9" max="9" width="13" hidden="0" customWidth="1"/>
  </x:cols>
  <x:sheetData>
    <x:row r="1" ht="38" customHeight="1">
      <x:c r="A1" s="4" t="str">
        <x:v>النماذج والمعادلات</x:v>
      </x:c>
      <x:c r="B1" s="4"/>
      <x:c r="C1" s="4"/>
      <x:c r="D1" s="4"/>
      <x:c r="E1" s="4"/>
      <x:c r="F1" s="4"/>
      <x:c r="G1" s="4"/>
      <x:c r="H1" s="4"/>
      <x:c r="I1" s="4"/>
    </x:row>
    <x:row r="2" ht="29" customHeight="1">
      <x:c r="A2" s="10" t="str">
        <x:v>وحدات وافتراضات كل حساب؛ تنبيه: النماذج التعليمية ليست محاكاة فيزيائية معتمدة</x:v>
      </x:c>
      <x:c r="B2" s="10"/>
      <x:c r="C2" s="10"/>
      <x:c r="D2" s="10"/>
      <x:c r="E2" s="10"/>
      <x:c r="F2" s="10"/>
      <x:c r="G2" s="10"/>
      <x:c r="H2" s="10"/>
      <x:c r="I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  <x:c r="H3" s="15"/>
      <x:c r="I3" s="15"/>
    </x:row>
    <x:row r="5" ht="34" customHeight="1">
      <x:c r="A5" s="21" t="str">
        <x:v>ID</x:v>
      </x:c>
      <x:c r="B5" s="21" t="str">
        <x:v>الفصل</x:v>
      </x:c>
      <x:c r="C5" s="21" t="str">
        <x:v>ما تحسبه</x:v>
      </x:c>
      <x:c r="D5" s="21" t="str">
        <x:v>المعادلة/المنطق</x:v>
      </x:c>
      <x:c r="E5" s="21" t="str">
        <x:v>الوحدات</x:v>
      </x:c>
      <x:c r="F5" s="21" t="str">
        <x:v>القيود</x:v>
      </x:c>
      <x:c r="G5" s="21" t="str">
        <x:v>تحذير التفسير</x:v>
      </x:c>
      <x:c r="H5" s="21" t="str">
        <x:v>مرجع</x:v>
      </x:c>
      <x:c r="I5" s="21" t="str">
        <x:v>الأولوية</x:v>
      </x:c>
    </x:row>
    <x:row r="6" ht="43" customHeight="1">
      <x:c r="A6" s="28" t="str">
        <x:v>SIM01</x:v>
      </x:c>
      <x:c r="B6" s="28" t="str">
        <x:v>Apollo</x:v>
      </x:c>
      <x:c r="C6" s="28" t="str">
        <x:v>زمن الانتقال</x:v>
      </x:c>
      <x:c r="D6" s="28" t="str">
        <x:v>travel_min=distance_km/speed_kmh*60</x:v>
      </x:c>
      <x:c r="E6" s="28" t="str">
        <x:v>km, km/h, min</x:v>
      </x:c>
      <x:c r="F6" s="28" t="str">
        <x:v>v&gt;0, distance≥0</x:v>
      </x:c>
      <x:c r="G6" s="28" t="str">
        <x:v>سيناريو افتراضي</x:v>
      </x:c>
      <x:c r="H6" s="28" t="str">
        <x:v>S05</x:v>
      </x:c>
      <x:c r="I6" s="28" t="str">
        <x:v>P0</x:v>
      </x:c>
    </x:row>
    <x:row r="7" ht="43" customHeight="1">
      <x:c r="A7" s="28" t="str">
        <x:v>SIM02</x:v>
      </x:c>
      <x:c r="B7" s="28" t="str">
        <x:v>Apollo</x:v>
      </x:c>
      <x:c r="C7" s="28" t="str">
        <x:v>وقت الملاحظات</x:v>
      </x:c>
      <x:c r="D7" s="28" t="str">
        <x:v>remaining=max(0,total−travel−fixed)</x:v>
      </x:c>
      <x:c r="E7" s="28" t="str">
        <x:v>minutes</x:v>
      </x:c>
      <x:c r="F7" s="28" t="str">
        <x:v>total≥0</x:v>
      </x:c>
      <x:c r="G7" s="28" t="str">
        <x:v>من دون زمن ثابت إن لم يُستخدم</x:v>
      </x:c>
      <x:c r="H7" s="28" t="str">
        <x:v>تعليمي</x:v>
      </x:c>
      <x:c r="I7" s="28" t="str">
        <x:v>P0</x:v>
      </x:c>
    </x:row>
    <x:row r="8" ht="43" customHeight="1">
      <x:c r="A8" s="28" t="str">
        <x:v>SIM03</x:v>
      </x:c>
      <x:c r="B8" s="28" t="str">
        <x:v>Apollo</x:v>
      </x:c>
      <x:c r="C8" s="28" t="str">
        <x:v>عدد المواقع الممكنة</x:v>
      </x:c>
      <x:c r="D8" s="28" t="str">
        <x:v>floor(remaining/observationMin)</x:v>
      </x:c>
      <x:c r="E8" s="28" t="str">
        <x:v>minutes</x:v>
      </x:c>
      <x:c r="F8" s="28" t="str">
        <x:v>observationMin&gt;0</x:v>
      </x:c>
      <x:c r="G8" s="28" t="str">
        <x:v>لا يعني عدد المواقع الحقيقية</x:v>
      </x:c>
      <x:c r="H8" s="28" t="str">
        <x:v>تعليمي</x:v>
      </x:c>
      <x:c r="I8" s="28" t="str">
        <x:v>P0</x:v>
      </x:c>
    </x:row>
    <x:row r="9" ht="43" customHeight="1">
      <x:c r="A9" s="28" t="str">
        <x:v>SIM04</x:v>
      </x:c>
      <x:c r="B9" s="28" t="str">
        <x:v>Apollo</x:v>
      </x:c>
      <x:c r="C9" s="28" t="str">
        <x:v>تعذر الرحلة</x:v>
      </x:c>
      <x:c r="D9" s="28" t="str">
        <x:v>if travel&gt;total =&gt; not feasible</x:v>
      </x:c>
      <x:c r="E9" s="28" t="str">
        <x:v>minutes</x:v>
      </x:c>
      <x:c r="F9" s="28" t="str">
        <x:v>الحدود</x:v>
      </x:c>
      <x:c r="G9" s="28" t="str">
        <x:v>التجربة لا تولّد عدد مواقع سلبيًا</x:v>
      </x:c>
      <x:c r="H9" s="28" t="str">
        <x:v>تعليمي</x:v>
      </x:c>
      <x:c r="I9" s="28" t="str">
        <x:v>P0</x:v>
      </x:c>
    </x:row>
    <x:row r="10" ht="43" customHeight="1">
      <x:c r="A10" s="28" t="str">
        <x:v>SIM05</x:v>
      </x:c>
      <x:c r="B10" s="28" t="str">
        <x:v>Apollo</x:v>
      </x:c>
      <x:c r="C10" s="28" t="str">
        <x:v>مقارنة المسارات</x:v>
      </x:c>
      <x:c r="D10" s="28" t="str">
        <x:v>cost=f(distance,terrain,stopTime)</x:v>
      </x:c>
      <x:c r="E10" s="28" t="str">
        <x:v>نسبي</x:v>
      </x:c>
      <x:c r="F10" s="28" t="str">
        <x:v>المتغيرات افتراضية</x:v>
      </x:c>
      <x:c r="G10" s="28" t="str">
        <x:v>أي كلفة تصميمية تُوضح</x:v>
      </x:c>
      <x:c r="H10" s="28" t="str">
        <x:v>داخلي</x:v>
      </x:c>
      <x:c r="I10" s="28" t="str">
        <x:v>P1</x:v>
      </x:c>
    </x:row>
    <x:row r="11" ht="43" customHeight="1">
      <x:c r="A11" s="28" t="str">
        <x:v>SIM06</x:v>
      </x:c>
      <x:c r="B11" s="28" t="str">
        <x:v>Apollo</x:v>
      </x:c>
      <x:c r="C11" s="28" t="str">
        <x:v>تسارع rover</x:v>
      </x:c>
      <x:c r="D11" s="28" t="str">
        <x:v>v(t+dt)=clamp(v+a*dt,...)</x:v>
      </x:c>
      <x:c r="E11" s="28" t="str">
        <x:v>m/s</x:v>
      </x:c>
      <x:c r="F11" s="28" t="str">
        <x:v>ثابت زمني منفصل عن FPS</x:v>
      </x:c>
      <x:c r="G11" s="28" t="str">
        <x:v>لا ادعاء ديناميكا LRV حقيقية</x:v>
      </x:c>
      <x:c r="H11" s="28" t="str">
        <x:v>S07</x:v>
      </x:c>
      <x:c r="I11" s="28" t="str">
        <x:v>P1</x:v>
      </x:c>
    </x:row>
    <x:row r="12" ht="43" customHeight="1">
      <x:c r="A12" s="28" t="str">
        <x:v>SIM07</x:v>
      </x:c>
      <x:c r="B12" s="28" t="str">
        <x:v>Apollo</x:v>
      </x:c>
      <x:c r="C12" s="28" t="str">
        <x:v>مسافة السير</x:v>
      </x:c>
      <x:c r="D12" s="28" t="str">
        <x:v>x_next=x+v*dt</x:v>
      </x:c>
      <x:c r="E12" s="28" t="str">
        <x:v>m</x:v>
      </x:c>
      <x:c r="F12" s="28" t="str">
        <x:v>dt&gt;0</x:v>
      </x:c>
      <x:c r="G12" s="28" t="str">
        <x:v>قياس داخل العالم رمزي</x:v>
      </x:c>
      <x:c r="H12" s="28" t="str">
        <x:v>تعليمي</x:v>
      </x:c>
      <x:c r="I12" s="28" t="str">
        <x:v>P0</x:v>
      </x:c>
    </x:row>
    <x:row r="13" ht="43" customHeight="1">
      <x:c r="A13" s="28" t="str">
        <x:v>SIM08</x:v>
      </x:c>
      <x:c r="B13" s="28" t="str">
        <x:v>Opportunity</x:v>
      </x:c>
      <x:c r="C13" s="28" t="str">
        <x:v>طاقة نهاية اليوم</x:v>
      </x:c>
      <x:c r="D13" s="28" t="str">
        <x:v>E_next=clamp(E_prev+G−C,0,capacity)</x:v>
      </x:c>
      <x:c r="E13" s="28" t="str">
        <x:v>Wh افتراضية</x:v>
      </x:c>
      <x:c r="F13" s="28" t="str">
        <x:v>G,C≥0</x:v>
      </x:c>
      <x:c r="G13" s="28" t="str">
        <x:v>أرقام افتراضية</x:v>
      </x:c>
      <x:c r="H13" s="28" t="str">
        <x:v>S09</x:v>
      </x:c>
      <x:c r="I13" s="28" t="str">
        <x:v>P0</x:v>
      </x:c>
    </x:row>
    <x:row r="14" ht="43" customHeight="1">
      <x:c r="A14" s="28" t="str">
        <x:v>SIM09</x:v>
      </x:c>
      <x:c r="B14" s="28" t="str">
        <x:v>Opportunity</x:v>
      </x:c>
      <x:c r="C14" s="28" t="str">
        <x:v>تأثير الغبار</x:v>
      </x:c>
      <x:c r="D14" s="28" t="str">
        <x:v>G=G_clear*(1−dustFraction)</x:v>
      </x:c>
      <x:c r="E14" s="28" t="str">
        <x:v>Wh</x:v>
      </x:c>
      <x:c r="F14" s="28" t="str">
        <x:v>0≤dustFraction≤1</x:v>
      </x:c>
      <x:c r="G14" s="28" t="str">
        <x:v>تبسيط شفاف لا وصف فيزياء كاملة</x:v>
      </x:c>
      <x:c r="H14" s="28" t="str">
        <x:v>S25</x:v>
      </x:c>
      <x:c r="I14" s="28" t="str">
        <x:v>P0</x:v>
      </x:c>
    </x:row>
    <x:row r="15" ht="43" customHeight="1">
      <x:c r="A15" s="28" t="str">
        <x:v>SIM10</x:v>
      </x:c>
      <x:c r="B15" s="28" t="str">
        <x:v>Opportunity</x:v>
      </x:c>
      <x:c r="C15" s="28" t="str">
        <x:v>تكلفة الحركة</x:v>
      </x:c>
      <x:c r="D15" s="28" t="str">
        <x:v>C_move=moveUnits*energyRate</x:v>
      </x:c>
      <x:c r="E15" s="28" t="str">
        <x:v>Wh</x:v>
      </x:c>
      <x:c r="F15" s="28" t="str">
        <x:v>rate≥0</x:v>
      </x:c>
      <x:c r="G15" s="28" t="str">
        <x:v>افتراض لعب وليس كفاءة فعلية</x:v>
      </x:c>
      <x:c r="H15" s="28" t="str">
        <x:v>تعليمي</x:v>
      </x:c>
      <x:c r="I15" s="28" t="str">
        <x:v>P0</x:v>
      </x:c>
    </x:row>
    <x:row r="16" ht="43" customHeight="1">
      <x:c r="A16" s="28" t="str">
        <x:v>SIM11</x:v>
      </x:c>
      <x:c r="B16" s="28" t="str">
        <x:v>Opportunity</x:v>
      </x:c>
      <x:c r="C16" s="28" t="str">
        <x:v>استهلاك أدوات</x:v>
      </x:c>
      <x:c r="D16" s="28" t="str">
        <x:v>C_total=sum(C_i)</x:v>
      </x:c>
      <x:c r="E16" s="28" t="str">
        <x:v>Wh</x:v>
      </x:c>
      <x:c r="F16" s="28" t="str">
        <x:v>لا توجد طاقة سالبة</x:v>
      </x:c>
      <x:c r="G16" s="28" t="str">
        <x:v>بيان الاستهلاك لا تفصيل حقيقي</x:v>
      </x:c>
      <x:c r="H16" s="28" t="str">
        <x:v>تعليمي</x:v>
      </x:c>
      <x:c r="I16" s="28" t="str">
        <x:v>P0</x:v>
      </x:c>
    </x:row>
    <x:row r="17" ht="43" customHeight="1">
      <x:c r="A17" s="28" t="str">
        <x:v>SIM12</x:v>
      </x:c>
      <x:c r="B17" s="28" t="str">
        <x:v>Opportunity</x:v>
      </x:c>
      <x:c r="C17" s="28" t="str">
        <x:v>إتاحة اتصال</x:v>
      </x:c>
      <x:c r="D17" s="28" t="str">
        <x:v>E_before_tx≥C_tx</x:v>
      </x:c>
      <x:c r="E17" s="28" t="str">
        <x:v>Wh</x:v>
      </x:c>
      <x:c r="F17" s="28" t="str">
        <x:v>قيد احتياطي</x:v>
      </x:c>
      <x:c r="G17" s="28" t="str">
        <x:v>سيناريو محاكاة لا حدث تاريخي</x:v>
      </x:c>
      <x:c r="H17" s="28" t="str">
        <x:v>تعليمي</x:v>
      </x:c>
      <x:c r="I17" s="28" t="str">
        <x:v>P0</x:v>
      </x:c>
    </x:row>
    <x:row r="18" ht="43" customHeight="1">
      <x:c r="A18" s="28" t="str">
        <x:v>SIM13</x:v>
      </x:c>
      <x:c r="B18" s="28" t="str">
        <x:v>InSight</x:v>
      </x:c>
      <x:c r="C18" s="28" t="str">
        <x:v>عينة إشارة</x:v>
      </x:c>
      <x:c r="D18" s="28" t="str">
        <x:v>signal(t)=event(t)+noise(t)</x:v>
      </x:c>
      <x:c r="E18" s="28" t="str">
        <x:v>نسبي</x:v>
      </x:c>
      <x:c r="F18" s="28" t="str">
        <x:v>بيانات صناعية موسومة</x:v>
      </x:c>
      <x:c r="G18" s="28" t="str">
        <x:v>لا تُدعى قياس SEIS إلا إذا كانت</x:v>
      </x:c>
      <x:c r="H18" s="28" t="str">
        <x:v>S11</x:v>
      </x:c>
      <x:c r="I18" s="28" t="str">
        <x:v>P2</x:v>
      </x:c>
    </x:row>
    <x:row r="19" ht="43" customHeight="1">
      <x:c r="A19" s="28" t="str">
        <x:v>SIM14</x:v>
      </x:c>
      <x:c r="B19" s="28" t="str">
        <x:v>InSight</x:v>
      </x:c>
      <x:c r="C19" s="28" t="str">
        <x:v>مرشح moving avg</x:v>
      </x:c>
      <x:c r="D19" s="28" t="str">
        <x:v>filtered=mean(window)</x:v>
      </x:c>
      <x:c r="E19" s="28" t="str">
        <x:v>نسبي</x:v>
      </x:c>
      <x:c r="F19" s="28" t="str">
        <x:v>window&gt;=1</x:v>
      </x:c>
      <x:c r="G19" s="28" t="str">
        <x:v>مراجعة حدود التطبيق</x:v>
      </x:c>
      <x:c r="H19" s="28" t="str">
        <x:v>تعليمي</x:v>
      </x:c>
      <x:c r="I19" s="28" t="str">
        <x:v>P2</x:v>
      </x:c>
    </x:row>
    <x:row r="20" ht="43" customHeight="1">
      <x:c r="A20" s="28" t="str">
        <x:v>SIM15</x:v>
      </x:c>
      <x:c r="B20" s="28" t="str">
        <x:v>كل</x:v>
      </x:c>
      <x:c r="C20" s="28" t="str">
        <x:v>تدرج النقاط</x:v>
      </x:c>
      <x:c r="D20" s="28" t="str">
        <x:v>score=max(0,score+delta)</x:v>
      </x:c>
      <x:c r="E20" s="28" t="str">
        <x:v>XP</x:v>
      </x:c>
      <x:c r="F20" s="28" t="str">
        <x:v>delta integer</x:v>
      </x:c>
      <x:c r="G20" s="28" t="str">
        <x:v>سقف الخصم يمنع الإحباط</x:v>
      </x:c>
      <x:c r="H20" s="28" t="str">
        <x:v>داخلي</x:v>
      </x:c>
      <x:c r="I20" s="28" t="str">
        <x:v>P0</x:v>
      </x:c>
    </x:row>
    <x:row r="21" ht="43" customHeight="1">
      <x:c r="A21" s="28" t="str">
        <x:v>SIM16</x:v>
      </x:c>
      <x:c r="B21" s="28" t="str">
        <x:v>كل</x:v>
      </x:c>
      <x:c r="C21" s="28" t="str">
        <x:v>شرط المرور</x:v>
      </x:c>
      <x:c r="D21" s="28" t="str">
        <x:v>unlocked=all(requiredFlags)</x:v>
      </x:c>
      <x:c r="E21" s="28" t="str">
        <x:v>boolean</x:v>
      </x:c>
      <x:c r="F21" s="28" t="str">
        <x:v>جميع المتطلبات</x:v>
      </x:c>
      <x:c r="G21" s="28" t="str">
        <x:v>لا تجاوز شجرة الأدلة</x:v>
      </x:c>
      <x:c r="H21" s="28" t="str">
        <x:v>داخلي</x:v>
      </x:c>
      <x:c r="I21" s="28" t="str">
        <x:v>P0</x:v>
      </x:c>
    </x:row>
    <x:row r="22" ht="43" customHeight="1">
      <x:c r="A22" s="28" t="str">
        <x:v>SIM17</x:v>
      </x:c>
      <x:c r="B22" s="28" t="str">
        <x:v>كل</x:v>
      </x:c>
      <x:c r="C22" s="28" t="str">
        <x:v>بصمة الحفظ</x:v>
      </x:c>
      <x:c r="D22" s="28" t="str">
        <x:v>version+checksum?</x:v>
      </x:c>
      <x:c r="E22" s="28" t="str">
        <x:v>string</x:v>
      </x:c>
      <x:c r="F22" s="28" t="str">
        <x:v>التحقق من سلامة بيانات localStorage</x:v>
      </x:c>
      <x:c r="G22" s="28" t="str">
        <x:v>لا تعتمد على hash أمني وحده</x:v>
      </x:c>
      <x:c r="H22" s="28" t="str">
        <x:v>داخلي</x:v>
      </x:c>
      <x:c r="I22" s="28" t="str">
        <x:v>P1</x:v>
      </x:c>
    </x:row>
    <x:row r="23" ht="43" customHeight="1">
      <x:c r="A23" s="28" t="str">
        <x:v>SIM18</x:v>
      </x:c>
      <x:c r="B23" s="28" t="str">
        <x:v>كل</x:v>
      </x:c>
      <x:c r="C23" s="28" t="str">
        <x:v>زمن إطار</x:v>
      </x:c>
      <x:c r="D23" s="28" t="str">
        <x:v>delta=min(elapsed,max_step)</x:v>
      </x:c>
      <x:c r="E23" s="28" t="str">
        <x:v>seconds</x:v>
      </x:c>
      <x:c r="F23" s="28" t="str">
        <x:v>delta&gt;0</x:v>
      </x:c>
      <x:c r="G23" s="28" t="str">
        <x:v>استقرار الحركة في بطء المتصفح</x:v>
      </x:c>
      <x:c r="H23" s="28" t="str">
        <x:v>داخلي</x:v>
      </x:c>
      <x:c r="I23" s="28" t="str">
        <x:v>P0</x:v>
      </x:c>
    </x:row>
    <x:row r="24" ht="43" customHeight="1">
      <x:c r="A24" s="28" t="str">
        <x:v>SIM19</x:v>
      </x:c>
      <x:c r="B24" s="28" t="str">
        <x:v>كل</x:v>
      </x:c>
      <x:c r="C24" s="28" t="str">
        <x:v>تلميح تدريجي</x:v>
      </x:c>
      <x:c r="D24" s="28" t="str">
        <x:v>hintsUsed = min(hints+1,3)</x:v>
      </x:c>
      <x:c r="E24" s="28" t="str">
        <x:v>integer</x:v>
      </x:c>
      <x:c r="F24" s="28" t="str">
        <x:v>0..3</x:v>
      </x:c>
      <x:c r="G24" s="28" t="str">
        <x:v>لا يعطي الحل كاملاً أولاً</x:v>
      </x:c>
      <x:c r="H24" s="28" t="str">
        <x:v>داخلي</x:v>
      </x:c>
      <x:c r="I24" s="28" t="str">
        <x:v>P1</x:v>
      </x:c>
    </x:row>
    <x:row r="25" ht="43" customHeight="1">
      <x:c r="A25" s="28" t="str">
        <x:v>SIM20</x:v>
      </x:c>
      <x:c r="B25" s="28" t="str">
        <x:v>كل</x:v>
      </x:c>
      <x:c r="C25" s="28" t="str">
        <x:v>تحسن التعلم</x:v>
      </x:c>
      <x:c r="D25" s="28" t="str">
        <x:v>gain=post_pct−pre_pct</x:v>
      </x:c>
      <x:c r="E25" s="28" t="str">
        <x:v>نقطة مئوية</x:v>
      </x:c>
      <x:c r="F25" s="28" t="str">
        <x:v>اختباران متكافئان</x:v>
      </x:c>
      <x:c r="G25" s="28" t="str">
        <x:v>يحسب بعد بيانات طلاب فعلية فقط</x:v>
      </x:c>
      <x:c r="H25" s="28" t="str">
        <x:v>داخلي</x:v>
      </x:c>
      <x:c r="I25" s="28" t="str">
        <x:v>P0</x:v>
      </x:c>
    </x:row>
  </x:sheetData>
  <x:mergeCells>
    <x:mergeCell ref="A1:I1"/>
    <x:mergeCell ref="A2:I2"/>
    <x:mergeCell ref="A3:I3"/>
  </x:mergeCells>
  <x:conditionalFormatting sqref="I6:I25">
    <x:cfRule type="expression" dxfId="50" priority="1">
      <x:formula>I6="P0"</x:formula>
    </x:cfRule>
    <x:cfRule type="expression" dxfId="51" priority="2">
      <x:formula>I6="حرج"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29" hidden="0" customWidth="1"/>
    <x:col min="4" max="4" width="76" hidden="0" customWidth="1"/>
    <x:col min="5" max="5" width="65" hidden="0" customWidth="1"/>
    <x:col min="6" max="6" width="13" hidden="0" customWidth="1"/>
  </x:cols>
  <x:sheetData>
    <x:row r="1" ht="38" customHeight="1">
      <x:c r="A1" s="4" t="str">
        <x:v>تجربة المستخدم</x:v>
      </x:c>
      <x:c r="B1" s="4"/>
      <x:c r="C1" s="4"/>
      <x:c r="D1" s="4"/>
      <x:c r="E1" s="4"/>
      <x:c r="F1" s="4"/>
    </x:row>
    <x:row r="2" ht="29" customHeight="1">
      <x:c r="A2" s="10" t="str">
        <x:v>قائمة تصميم واجهات وتفاعلات قابلة للقياس وليست أوصافًا عامة</x:v>
      </x:c>
      <x:c r="B2" s="10"/>
      <x:c r="C2" s="10"/>
      <x:c r="D2" s="10"/>
      <x:c r="E2" s="10"/>
      <x:c r="F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</x:row>
    <x:row r="5" ht="34" customHeight="1">
      <x:c r="A5" s="21" t="str">
        <x:v>ID</x:v>
      </x:c>
      <x:c r="B5" s="21" t="str">
        <x:v>المنطقة</x:v>
      </x:c>
      <x:c r="C5" s="21" t="str">
        <x:v>العنصر</x:v>
      </x:c>
      <x:c r="D5" s="21" t="str">
        <x:v>التنفيذ المقصود</x:v>
      </x:c>
      <x:c r="E5" s="21" t="str">
        <x:v>اختبار القبول</x:v>
      </x:c>
      <x:c r="F5" s="21" t="str">
        <x:v>الأولوية</x:v>
      </x:c>
    </x:row>
    <x:row r="6" ht="43" customHeight="1">
      <x:c r="A6" s="28" t="str">
        <x:v>UX01</x:v>
      </x:c>
      <x:c r="B6" s="28" t="str">
        <x:v>بداية</x:v>
      </x:c>
      <x:c r="C6" s="28" t="str">
        <x:v>Start within 30s</x:v>
      </x:c>
      <x:c r="D6" s="28" t="str">
        <x:v>زر البدء واضح قبل أي سينما</x:v>
      </x:c>
      <x:c r="E6" s="28" t="str">
        <x:v>≤30 ثانية حتى أول فعل</x:v>
      </x:c>
      <x:c r="F6" s="28" t="str">
        <x:v>P0</x:v>
      </x:c>
    </x:row>
    <x:row r="7" ht="43" customHeight="1">
      <x:c r="A7" s="28" t="str">
        <x:v>UX02</x:v>
      </x:c>
      <x:c r="B7" s="28" t="str">
        <x:v>ORIGIN</x:v>
      </x:c>
      <x:c r="C7" s="28" t="str">
        <x:v>Mission select</x:v>
      </x:c>
      <x:c r="D7" s="28" t="str">
        <x:v>قمر متاح/مريخ مقفل حتى فتحه</x:v>
      </x:c>
      <x:c r="E7" s="28" t="str">
        <x:v>لا يظهر زر لا يعمل دون توضيح</x:v>
      </x:c>
      <x:c r="F7" s="28" t="str">
        <x:v>P0</x:v>
      </x:c>
    </x:row>
    <x:row r="8" ht="43" customHeight="1">
      <x:c r="A8" s="28" t="str">
        <x:v>UX03</x:v>
      </x:c>
      <x:c r="B8" s="28" t="str">
        <x:v>إرشاد</x:v>
      </x:c>
      <x:c r="C8" s="28" t="str">
        <x:v>ECHO hint</x:v>
      </x:c>
      <x:c r="D8" s="28" t="str">
        <x:v>3 مستويات للمساعدة حسب الوقوف</x:v>
      </x:c>
      <x:c r="E8" s="28" t="str">
        <x:v>بعد 45s دون تقدم تظهر إشارة</x:v>
      </x:c>
      <x:c r="F8" s="28" t="str">
        <x:v>P1</x:v>
      </x:c>
    </x:row>
    <x:row r="9" ht="43" customHeight="1">
      <x:c r="A9" s="28" t="str">
        <x:v>UX04</x:v>
      </x:c>
      <x:c r="B9" s="28" t="str">
        <x:v>خريطة</x:v>
      </x:c>
      <x:c r="C9" s="28" t="str">
        <x:v>HUD</x:v>
      </x:c>
      <x:c r="D9" s="28" t="str">
        <x:v>المهمة الحالية/العينات/XP</x:v>
      </x:c>
      <x:c r="E9" s="28" t="str">
        <x:v>يقرأ دون التباس</x:v>
      </x:c>
      <x:c r="F9" s="28" t="str">
        <x:v>P0</x:v>
      </x:c>
    </x:row>
    <x:row r="10" ht="43" customHeight="1">
      <x:c r="A10" s="28" t="str">
        <x:v>UX05</x:v>
      </x:c>
      <x:c r="B10" s="28" t="str">
        <x:v>التحكم</x:v>
      </x:c>
      <x:c r="C10" s="28" t="str">
        <x:v>WASD / arrows</x:v>
      </x:c>
      <x:c r="D10" s="28" t="str">
        <x:v>التحرك لا يسبب scroll</x:v>
      </x:c>
      <x:c r="E10" s="28" t="str">
        <x:v>اختبار متصفح</x:v>
      </x:c>
      <x:c r="F10" s="28" t="str">
        <x:v>P0</x:v>
      </x:c>
    </x:row>
    <x:row r="11" ht="43" customHeight="1">
      <x:c r="A11" s="28" t="str">
        <x:v>UX06</x:v>
      </x:c>
      <x:c r="B11" s="28" t="str">
        <x:v>الفحص</x:v>
      </x:c>
      <x:c r="C11" s="28" t="str">
        <x:v>E button</x:v>
      </x:c>
      <x:c r="D11" s="28" t="str">
        <x:v>يظهر فعل فحص بجانب عنصر قابل للتفاعل</x:v>
      </x:c>
      <x:c r="E11" s="28" t="str">
        <x:v>لا تخمين زر</x:v>
      </x:c>
      <x:c r="F11" s="28" t="str">
        <x:v>P0</x:v>
      </x:c>
    </x:row>
    <x:row r="12" ht="43" customHeight="1">
      <x:c r="A12" s="28" t="str">
        <x:v>UX07</x:v>
      </x:c>
      <x:c r="B12" s="28" t="str">
        <x:v>قيادة</x:v>
      </x:c>
      <x:c r="C12" s="28" t="str">
        <x:v>WASD throttle/steer</x:v>
      </x:c>
      <x:c r="D12" s="28" t="str">
        <x:v>مستوى صعوبة افتراضي مريح</x:v>
      </x:c>
      <x:c r="E12" s="28" t="str">
        <x:v>لا تتجاوز 2 تعثر في البداية</x:v>
      </x:c>
      <x:c r="F12" s="28" t="str">
        <x:v>P0</x:v>
      </x:c>
    </x:row>
    <x:row r="13" ht="43" customHeight="1">
      <x:c r="A13" s="28" t="str">
        <x:v>UX08</x:v>
      </x:c>
      <x:c r="B13" s="28" t="str">
        <x:v>الاستعادة</x:v>
      </x:c>
      <x:c r="C13" s="28" t="str">
        <x:v>R recover</x:v>
      </x:c>
      <x:c r="D13" s="28" t="str">
        <x:v>يرجع المركبة إلى نقطة آمنة</x:v>
      </x:c>
      <x:c r="E13" s="28" t="str">
        <x:v>لا softlock</x:v>
      </x:c>
      <x:c r="F13" s="28" t="str">
        <x:v>P0</x:v>
      </x:c>
    </x:row>
    <x:row r="14" ht="43" customHeight="1">
      <x:c r="A14" s="28" t="str">
        <x:v>UX09</x:v>
      </x:c>
      <x:c r="B14" s="28" t="str">
        <x:v>الإيقاف</x:v>
      </x:c>
      <x:c r="C14" s="28" t="str">
        <x:v>Escape</x:v>
      </x:c>
      <x:c r="D14" s="28" t="str">
        <x:v>لا تتحرك الشخصية خلف النافذة</x:v>
      </x:c>
      <x:c r="E14" s="28" t="str">
        <x:v>قابل للاستئناف</x:v>
      </x:c>
      <x:c r="F14" s="28" t="str">
        <x:v>P0</x:v>
      </x:c>
    </x:row>
    <x:row r="15" ht="43" customHeight="1">
      <x:c r="A15" s="28" t="str">
        <x:v>UX10</x:v>
      </x:c>
      <x:c r="B15" s="28" t="str">
        <x:v>الصوت</x:v>
      </x:c>
      <x:c r="C15" s="28" t="str">
        <x:v>Mute</x:v>
      </x:c>
      <x:c r="D15" s="28" t="str">
        <x:v>إيقاف الأصوات</x:v>
      </x:c>
      <x:c r="E15" s="28" t="str">
        <x:v>المؤثر لا يعتمد على السمع</x:v>
      </x:c>
      <x:c r="F15" s="28" t="str">
        <x:v>P0</x:v>
      </x:c>
    </x:row>
    <x:row r="16" ht="43" customHeight="1">
      <x:c r="A16" s="28" t="str">
        <x:v>UX11</x:v>
      </x:c>
      <x:c r="B16" s="28" t="str">
        <x:v>اللغة</x:v>
      </x:c>
      <x:c r="C16" s="28" t="str">
        <x:v>عربي/English</x:v>
      </x:c>
      <x:c r="D16" s="28" t="str">
        <x:v>اتجاه مناسب ويظل التقدم</x:v>
      </x:c>
      <x:c r="E16" s="28" t="str">
        <x:v>لا نص متداخل</x:v>
      </x:c>
      <x:c r="F16" s="28" t="str">
        <x:v>P0</x:v>
      </x:c>
    </x:row>
    <x:row r="17" ht="43" customHeight="1">
      <x:c r="A17" s="28" t="str">
        <x:v>UX12</x:v>
      </x:c>
      <x:c r="B17" s="28" t="str">
        <x:v>النافذة</x:v>
      </x:c>
      <x:c r="C17" s="28" t="str">
        <x:v>Responsive</x:v>
      </x:c>
      <x:c r="D17" s="28" t="str">
        <x:v>تصلح 1366×768 و 1920×1080</x:v>
      </x:c>
      <x:c r="E17" s="28" t="str">
        <x:v>مكوّن رئيسي ظاهر</x:v>
      </x:c>
      <x:c r="F17" s="28" t="str">
        <x:v>P0</x:v>
      </x:c>
    </x:row>
    <x:row r="18" ht="43" customHeight="1">
      <x:c r="A18" s="28" t="str">
        <x:v>UX13</x:v>
      </x:c>
      <x:c r="B18" s="28" t="str">
        <x:v>النافذة</x:v>
      </x:c>
      <x:c r="C18" s="28" t="str">
        <x:v>Tablet portrait</x:v>
      </x:c>
      <x:c r="D18" s="28" t="str">
        <x:v>بدائل اللمس</x:v>
      </x:c>
      <x:c r="E18" s="28" t="str">
        <x:v>قرار P1 إذا الوقت</x:v>
      </x:c>
      <x:c r="F18" s="28" t="str">
        <x:v>P1</x:v>
      </x:c>
    </x:row>
    <x:row r="19" ht="43" customHeight="1">
      <x:c r="A19" s="28" t="str">
        <x:v>UX14</x:v>
      </x:c>
      <x:c r="B19" s="28" t="str">
        <x:v>الألغاز</x:v>
      </x:c>
      <x:c r="C19" s="28" t="str">
        <x:v>Circuit</x:v>
      </x:c>
      <x:c r="D19" s="28" t="str">
        <x:v>مرأى ربط واضح مع أسماء القطع</x:v>
      </x:c>
      <x:c r="E19" s="28" t="str">
        <x:v>تحقق من توجيه القطع</x:v>
      </x:c>
      <x:c r="F19" s="28" t="str">
        <x:v>P0</x:v>
      </x:c>
    </x:row>
    <x:row r="20" ht="43" customHeight="1">
      <x:c r="A20" s="28" t="str">
        <x:v>UX15</x:v>
      </x:c>
      <x:c r="B20" s="28" t="str">
        <x:v>الألغاز</x:v>
      </x:c>
      <x:c r="C20" s="28" t="str">
        <x:v>Evidence matching</x:v>
      </x:c>
      <x:c r="D20" s="28" t="str">
        <x:v>كل ارتباط يفسر لماذا</x:v>
      </x:c>
      <x:c r="E20" s="28" t="str">
        <x:v>أقل من 3 أخطاء بالنموذج</x:v>
      </x:c>
      <x:c r="F20" s="28" t="str">
        <x:v>P0</x:v>
      </x:c>
    </x:row>
    <x:row r="21" ht="43" customHeight="1">
      <x:c r="A21" s="28" t="str">
        <x:v>UX16</x:v>
      </x:c>
      <x:c r="B21" s="28" t="str">
        <x:v>الطاقة</x:v>
      </x:c>
      <x:c r="C21" s="28" t="str">
        <x:v>Bar + numbers</x:v>
      </x:c>
      <x:c r="D21" s="28" t="str">
        <x:v>الأرقام والسبب ظاهران</x:v>
      </x:c>
      <x:c r="E21" s="28" t="str">
        <x:v>لا انفجار بصري عنيق</x:v>
      </x:c>
      <x:c r="F21" s="28" t="str">
        <x:v>P0</x:v>
      </x:c>
    </x:row>
    <x:row r="22" ht="43" customHeight="1">
      <x:c r="A22" s="28" t="str">
        <x:v>UX17</x:v>
      </x:c>
      <x:c r="B22" s="28" t="str">
        <x:v>المتغيرات</x:v>
      </x:c>
      <x:c r="C22" s="28" t="str">
        <x:v>Units</x:v>
      </x:c>
      <x:c r="D22" s="28" t="str">
        <x:v>السرعة km/h والمسافة km</x:v>
      </x:c>
      <x:c r="E22" s="28" t="str">
        <x:v>تحقق عدم التباس m/km</x:v>
      </x:c>
      <x:c r="F22" s="28" t="str">
        <x:v>P0</x:v>
      </x:c>
    </x:row>
    <x:row r="23" ht="43" customHeight="1">
      <x:c r="A23" s="28" t="str">
        <x:v>UX18</x:v>
      </x:c>
      <x:c r="B23" s="28" t="str">
        <x:v>الحفظ</x:v>
      </x:c>
      <x:c r="C23" s="28" t="str">
        <x:v>Autosave</x:v>
      </x:c>
      <x:c r="D23" s="28" t="str">
        <x:v>أغلق وارجع لنفس نقطة المعنى</x:v>
      </x:c>
      <x:c r="E23" s="28" t="str">
        <x:v>لا تفقد أدلة</x:v>
      </x:c>
      <x:c r="F23" s="28" t="str">
        <x:v>P0</x:v>
      </x:c>
    </x:row>
    <x:row r="24" ht="43" customHeight="1">
      <x:c r="A24" s="28" t="str">
        <x:v>UX19</x:v>
      </x:c>
      <x:c r="B24" s="28" t="str">
        <x:v>الحفظ</x:v>
      </x:c>
      <x:c r="C24" s="28" t="str">
        <x:v>Reset confirmation</x:v>
      </x:c>
      <x:c r="D24" s="28" t="str">
        <x:v>لا يمسح التقدم دون تأكيد</x:v>
      </x:c>
      <x:c r="E24" s="28" t="str">
        <x:v>تأكيد مرئي</x:v>
      </x:c>
      <x:c r="F24" s="28" t="str">
        <x:v>P0</x:v>
      </x:c>
    </x:row>
    <x:row r="25" ht="43" customHeight="1">
      <x:c r="A25" s="28" t="str">
        <x:v>UX20</x:v>
      </x:c>
      <x:c r="B25" s="28" t="str">
        <x:v>المتحف</x:v>
      </x:c>
      <x:c r="C25" s="28" t="str">
        <x:v>Clickable Exhibit</x:v>
      </x:c>
      <x:c r="D25" s="28" t="str">
        <x:v>لا يكفي صفحة فوز</x:v>
      </x:c>
      <x:c r="E25" s="28" t="str">
        <x:v>على الأقل عنصر تفاعلي</x:v>
      </x:c>
      <x:c r="F25" s="28" t="str">
        <x:v>P1</x:v>
      </x:c>
    </x:row>
    <x:row r="26" ht="43" customHeight="1">
      <x:c r="A26" s="28" t="str">
        <x:v>UX21</x:v>
      </x:c>
      <x:c r="B26" s="28" t="str">
        <x:v>الأمان</x:v>
      </x:c>
      <x:c r="C26" s="28" t="str">
        <x:v>No accounts</x:v>
      </x:c>
      <x:c r="D26" s="28" t="str">
        <x:v>لا اسم حقيقي مطلوب</x:v>
      </x:c>
      <x:c r="E26" s="28" t="str">
        <x:v>تحقق خصوصية</x:v>
      </x:c>
      <x:c r="F26" s="28" t="str">
        <x:v>P0</x:v>
      </x:c>
    </x:row>
    <x:row r="27" ht="43" customHeight="1">
      <x:c r="A27" s="28" t="str">
        <x:v>UX22</x:v>
      </x:c>
      <x:c r="B27" s="28" t="str">
        <x:v>الحساسية</x:v>
      </x:c>
      <x:c r="C27" s="28" t="str">
        <x:v>Reduced motion</x:v>
      </x:c>
      <x:c r="D27" s="28" t="str">
        <x:v>إيقاف اهتزاز الكاميرا</x:v>
      </x:c>
      <x:c r="E27" s="28" t="str">
        <x:v>راحة مستخدم</x:v>
      </x:c>
      <x:c r="F27" s="28" t="str">
        <x:v>P1</x:v>
      </x:c>
    </x:row>
    <x:row r="28" ht="43" customHeight="1">
      <x:c r="A28" s="28" t="str">
        <x:v>UX23</x:v>
      </x:c>
      <x:c r="B28" s="28" t="str">
        <x:v>إتاحة</x:v>
      </x:c>
      <x:c r="C28" s="28" t="str">
        <x:v>Keyboard focus</x:v>
      </x:c>
      <x:c r="D28" s="28" t="str">
        <x:v>أزرار متاحة بـ Tab</x:v>
      </x:c>
      <x:c r="E28" s="28" t="str">
        <x:v>لا فخ تركيز</x:v>
      </x:c>
      <x:c r="F28" s="28" t="str">
        <x:v>P1</x:v>
      </x:c>
    </x:row>
    <x:row r="29" ht="43" customHeight="1">
      <x:c r="A29" s="28" t="str">
        <x:v>UX24</x:v>
      </x:c>
      <x:c r="B29" s="28" t="str">
        <x:v>إتاحة</x:v>
      </x:c>
      <x:c r="C29" s="28" t="str">
        <x:v>Contrast</x:v>
      </x:c>
      <x:c r="D29" s="28" t="str">
        <x:v>نصوص واضحة وخيارات لون</x:v>
      </x:c>
      <x:c r="E29" s="28" t="str">
        <x:v>اختبار WCAG مبدئي</x:v>
      </x:c>
      <x:c r="F29" s="28" t="str">
        <x:v>P1</x:v>
      </x:c>
    </x:row>
    <x:row r="30" ht="43" customHeight="1">
      <x:c r="A30" s="28" t="str">
        <x:v>UX25</x:v>
      </x:c>
      <x:c r="B30" s="28" t="str">
        <x:v>الدقة</x:v>
      </x:c>
      <x:c r="C30" s="28" t="str">
        <x:v>Historical/Sim tag</x:v>
      </x:c>
      <x:c r="D30" s="28" t="str">
        <x:v>وسم دائم على المحاكاة</x:v>
      </x:c>
      <x:c r="E30" s="28" t="str">
        <x:v>لا التباس</x:v>
      </x:c>
      <x:c r="F30" s="28" t="str">
        <x:v>P0</x:v>
      </x:c>
    </x:row>
    <x:row r="31" ht="43" customHeight="1">
      <x:c r="A31" s="28" t="str">
        <x:v>UX26</x:v>
      </x:c>
      <x:c r="B31" s="28" t="str">
        <x:v>التحميل</x:v>
      </x:c>
      <x:c r="C31" s="28" t="str">
        <x:v>First load</x:v>
      </x:c>
      <x:c r="D31" s="28" t="str">
        <x:v>إظهار شاشة تحميل</x:v>
      </x:c>
      <x:c r="E31" s="28" t="str">
        <x:v>لا صفحة بيضاء</x:v>
      </x:c>
      <x:c r="F31" s="28" t="str">
        <x:v>P0</x:v>
      </x:c>
    </x:row>
    <x:row r="32" ht="43" customHeight="1">
      <x:c r="A32" s="28" t="str">
        <x:v>UX27</x:v>
      </x:c>
      <x:c r="B32" s="28" t="str">
        <x:v>الفشل</x:v>
      </x:c>
      <x:c r="C32" s="28" t="str">
        <x:v>Recoverable</x:v>
      </x:c>
      <x:c r="D32" s="28" t="str">
        <x:v>رسالة لماذا فشل اللغز</x:v>
      </x:c>
      <x:c r="E32" s="28" t="str">
        <x:v>يمكن إعادة دون مسح</x:v>
      </x:c>
      <x:c r="F32" s="28" t="str">
        <x:v>P0</x:v>
      </x:c>
    </x:row>
    <x:row r="33" ht="43" customHeight="1">
      <x:c r="A33" s="28" t="str">
        <x:v>UX28</x:v>
      </x:c>
      <x:c r="B33" s="28" t="str">
        <x:v>التحقيق</x:v>
      </x:c>
      <x:c r="C33" s="28" t="str">
        <x:v>Secrets optional</x:v>
      </x:c>
      <x:c r="D33" s="28" t="str">
        <x:v>الدليل المخفي ليس شرطًا</x:v>
      </x:c>
      <x:c r="E33" s="28" t="str">
        <x:v>اختبار مهمّة خط رئيسي</x:v>
      </x:c>
      <x:c r="F33" s="28" t="str">
        <x:v>P1</x:v>
      </x:c>
    </x:row>
    <x:row r="34" ht="43" customHeight="1">
      <x:c r="A34" s="28" t="str">
        <x:v>UX29</x:v>
      </x:c>
      <x:c r="B34" s="28" t="str">
        <x:v>النتيجة</x:v>
      </x:c>
      <x:c r="C34" s="28" t="str">
        <x:v>Meaningful reward</x:v>
      </x:c>
      <x:c r="D34" s="28" t="str">
        <x:v>إنارة الوصلة + معرض</x:v>
      </x:c>
      <x:c r="E34" s="28" t="str">
        <x:v>تؤكد تغيرًا مرئيًا</x:v>
      </x:c>
      <x:c r="F34" s="28" t="str">
        <x:v>P0</x:v>
      </x:c>
    </x:row>
    <x:row r="35" ht="43" customHeight="1">
      <x:c r="A35" s="28" t="str">
        <x:v>UX30</x:v>
      </x:c>
      <x:c r="B35" s="28" t="str">
        <x:v>التحقق</x:v>
      </x:c>
      <x:c r="C35" s="28" t="str">
        <x:v>No narration mode</x:v>
      </x:c>
      <x:c r="D35" s="28" t="str">
        <x:v>اللعب دون شرح يبقى مفهومًا</x:v>
      </x:c>
      <x:c r="E35" s="28" t="str">
        <x:v>تجربة لاعبين</x:v>
      </x:c>
      <x:c r="F35" s="28" t="str">
        <x:v>P0</x:v>
      </x:c>
    </x:row>
  </x:sheetData>
  <x:mergeCells>
    <x:mergeCell ref="A1:F1"/>
    <x:mergeCell ref="A2:F2"/>
    <x:mergeCell ref="A3:F3"/>
  </x:mergeCells>
  <x:conditionalFormatting sqref="F6:F35">
    <x:cfRule type="expression" dxfId="52" priority="1">
      <x:formula>F6="P0"</x:formula>
    </x:cfRule>
    <x:cfRule type="expression" dxfId="53" priority="2">
      <x:formula>F6="حرج"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32" hidden="0" customWidth="1"/>
    <x:col min="4" max="4" width="75" hidden="0" customWidth="1"/>
    <x:col min="5" max="5" width="20" hidden="0" customWidth="1"/>
    <x:col min="6" max="6" width="15" hidden="0" customWidth="1"/>
    <x:col min="7" max="7" width="53" hidden="0" customWidth="1"/>
  </x:cols>
  <x:sheetData>
    <x:row r="1" ht="38" customHeight="1">
      <x:c r="A1" s="4" t="str">
        <x:v>الهندسة التقنية</x:v>
      </x:c>
      <x:c r="B1" s="4"/>
      <x:c r="C1" s="4"/>
      <x:c r="D1" s="4"/>
      <x:c r="E1" s="4"/>
      <x:c r="F1" s="4"/>
      <x:c r="G1" s="4"/>
    </x:row>
    <x:row r="2" ht="29" customHeight="1">
      <x:c r="A2" s="10" t="str">
        <x:v>معمارية موجودة مقابل تقنيات المستقبل؛ لا ندعي أن 3D مطبّق حاليًا</x:v>
      </x:c>
      <x:c r="B2" s="10"/>
      <x:c r="C2" s="10"/>
      <x:c r="D2" s="10"/>
      <x:c r="E2" s="10"/>
      <x:c r="F2" s="10"/>
      <x:c r="G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</x:row>
    <x:row r="5" ht="34" customHeight="1">
      <x:c r="A5" s="21" t="str">
        <x:v>ID</x:v>
      </x:c>
      <x:c r="B5" s="21" t="str">
        <x:v>المجال</x:v>
      </x:c>
      <x:c r="C5" s="21" t="str">
        <x:v>المكون</x:v>
      </x:c>
      <x:c r="D5" s="21" t="str">
        <x:v>القرار/المطلوب</x:v>
      </x:c>
      <x:c r="E5" s="21" t="str">
        <x:v>الحالة</x:v>
      </x:c>
      <x:c r="F5" s="21" t="str">
        <x:v>الأولوية</x:v>
      </x:c>
      <x:c r="G5" s="21" t="str">
        <x:v>المرجع</x:v>
      </x:c>
    </x:row>
    <x:row r="6" ht="43" customHeight="1">
      <x:c r="A6" s="28" t="str">
        <x:v>ARCH01</x:v>
      </x:c>
      <x:c r="B6" s="28" t="str">
        <x:v>بنية حالية</x:v>
      </x:c>
      <x:c r="C6" s="28" t="str">
        <x:v>HTML standalone</x:v>
      </x:c>
      <x:c r="D6" s="28" t="str">
        <x:v>بناء صفحة واحدة offline</x:v>
      </x:c>
      <x:c r="E6" s="28" t="str">
        <x:v>موجود حاليًا</x:v>
      </x:c>
      <x:c r="F6" s="28" t="str">
        <x:v>P0</x:v>
      </x:c>
      <x:c r="G6" s="28" t="str">
        <x:v>README الإصدار IV</x:v>
      </x:c>
    </x:row>
    <x:row r="7" ht="43" customHeight="1">
      <x:c r="A7" s="28" t="str">
        <x:v>ARCH02</x:v>
      </x:c>
      <x:c r="B7" s="28" t="str">
        <x:v>حالي</x:v>
      </x:c>
      <x:c r="C7" s="28" t="str">
        <x:v>Canvas 2D</x:v>
      </x:c>
      <x:c r="D7" s="28" t="str">
        <x:v>رسومات 2.5D متحركة</x:v>
      </x:c>
      <x:c r="E7" s="28" t="str">
        <x:v>موجود حاليًا</x:v>
      </x:c>
      <x:c r="F7" s="28" t="str">
        <x:v>P0</x:v>
      </x:c>
      <x:c r="G7" s="28" t="str">
        <x:v>README الإصدار IV</x:v>
      </x:c>
    </x:row>
    <x:row r="8" ht="43" customHeight="1">
      <x:c r="A8" s="28" t="str">
        <x:v>ARCH03</x:v>
      </x:c>
      <x:c r="B8" s="28" t="str">
        <x:v>حالي</x:v>
      </x:c>
      <x:c r="C8" s="28" t="str">
        <x:v>JavaScript</x:v>
      </x:c>
      <x:c r="D8" s="28" t="str">
        <x:v>سلوك الألغاز وتحكم اللعبة</x:v>
      </x:c>
      <x:c r="E8" s="28" t="str">
        <x:v>موجود حاليًا</x:v>
      </x:c>
      <x:c r="F8" s="28" t="str">
        <x:v>P0</x:v>
      </x:c>
      <x:c r="G8" s="28" t="str">
        <x:v>README الإصدار IV</x:v>
      </x:c>
    </x:row>
    <x:row r="9" ht="43" customHeight="1">
      <x:c r="A9" s="28" t="str">
        <x:v>ARCH04</x:v>
      </x:c>
      <x:c r="B9" s="28" t="str">
        <x:v>حالي</x:v>
      </x:c>
      <x:c r="C9" s="28" t="str">
        <x:v>localStorage</x:v>
      </x:c>
      <x:c r="D9" s="28" t="str">
        <x:v>حفظ تقدّم محلي</x:v>
      </x:c>
      <x:c r="E9" s="28" t="str">
        <x:v>موجود حاليًا</x:v>
      </x:c>
      <x:c r="F9" s="28" t="str">
        <x:v>P0</x:v>
      </x:c>
      <x:c r="G9" s="28" t="str">
        <x:v>README الإصدار IV</x:v>
      </x:c>
    </x:row>
    <x:row r="10" ht="43" customHeight="1">
      <x:c r="A10" s="28" t="str">
        <x:v>ARCH05</x:v>
      </x:c>
      <x:c r="B10" s="28" t="str">
        <x:v>حالي</x:v>
      </x:c>
      <x:c r="C10" s="28" t="str">
        <x:v>A11y basic</x:v>
      </x:c>
      <x:c r="D10" s="28" t="str">
        <x:v>إيقاف/واجهة لغة</x:v>
      </x:c>
      <x:c r="E10" s="28" t="str">
        <x:v>موجود حاليًا</x:v>
      </x:c>
      <x:c r="F10" s="28" t="str">
        <x:v>P0</x:v>
      </x:c>
      <x:c r="G10" s="28" t="str">
        <x:v>README الإصدار IV</x:v>
      </x:c>
    </x:row>
    <x:row r="11" ht="43" customHeight="1">
      <x:c r="A11" s="28" t="str">
        <x:v>ARCH06</x:v>
      </x:c>
      <x:c r="B11" s="28" t="str">
        <x:v>مستقبلي</x:v>
      </x:c>
      <x:c r="C11" s="28" t="str">
        <x:v>Vite + TypeScript</x:v>
      </x:c>
      <x:c r="D11" s="28" t="str">
        <x:v>فصل الوحدات للتوسع</x:v>
      </x:c>
      <x:c r="E11" s="28" t="str">
        <x:v>مخطط</x:v>
      </x:c>
      <x:c r="F11" s="28" t="str">
        <x:v>P2</x:v>
      </x:c>
      <x:c r="G11" s="28" t="str">
        <x:v>مقترح تقنية</x:v>
      </x:c>
    </x:row>
    <x:row r="12" ht="43" customHeight="1">
      <x:c r="A12" s="28" t="str">
        <x:v>ARCH07</x:v>
      </x:c>
      <x:c r="B12" s="28" t="str">
        <x:v>مستقبلي</x:v>
      </x:c>
      <x:c r="C12" s="28" t="str">
        <x:v>React</x:v>
      </x:c>
      <x:c r="D12" s="28" t="str">
        <x:v>واجهة أكبر وأبسط اختبارًا</x:v>
      </x:c>
      <x:c r="E12" s="28" t="str">
        <x:v>مخطط</x:v>
      </x:c>
      <x:c r="F12" s="28" t="str">
        <x:v>P2</x:v>
      </x:c>
      <x:c r="G12" s="28" t="str">
        <x:v>مقترح تقنية</x:v>
      </x:c>
    </x:row>
    <x:row r="13" ht="43" customHeight="1">
      <x:c r="A13" s="28" t="str">
        <x:v>ARCH08</x:v>
      </x:c>
      <x:c r="B13" s="28" t="str">
        <x:v>مستقبلي</x:v>
      </x:c>
      <x:c r="C13" s="28" t="str">
        <x:v>Three.js</x:v>
      </x:c>
      <x:c r="D13" s="28" t="str">
        <x:v>3D حقيقي عند توافر فريق ووقت</x:v>
      </x:c>
      <x:c r="E13" s="28" t="str">
        <x:v>مخطط</x:v>
      </x:c>
      <x:c r="F13" s="28" t="str">
        <x:v>P2</x:v>
      </x:c>
      <x:c r="G13" s="28" t="str">
        <x:v>مقترح تقنية</x:v>
      </x:c>
    </x:row>
    <x:row r="14" ht="43" customHeight="1">
      <x:c r="A14" s="28" t="str">
        <x:v>ARCH09</x:v>
      </x:c>
      <x:c r="B14" s="28" t="str">
        <x:v>مستقبلي</x:v>
      </x:c>
      <x:c r="C14" s="28" t="str">
        <x:v>Zustand</x:v>
      </x:c>
      <x:c r="D14" s="28" t="str">
        <x:v>state game محدد</x:v>
      </x:c>
      <x:c r="E14" s="28" t="str">
        <x:v>مخطط</x:v>
      </x:c>
      <x:c r="F14" s="28" t="str">
        <x:v>P2</x:v>
      </x:c>
      <x:c r="G14" s="28" t="str">
        <x:v>مقترح تقنية</x:v>
      </x:c>
    </x:row>
    <x:row r="15" ht="43" customHeight="1">
      <x:c r="A15" s="28" t="str">
        <x:v>ARCH10</x:v>
      </x:c>
      <x:c r="B15" s="28" t="str">
        <x:v>مستقبلي</x:v>
      </x:c>
      <x:c r="C15" s="28" t="str">
        <x:v>IndexedDB</x:v>
      </x:c>
      <x:c r="D15" s="28" t="str">
        <x:v>حفظ ومعارض أكبر</x:v>
      </x:c>
      <x:c r="E15" s="28" t="str">
        <x:v>مخطط</x:v>
      </x:c>
      <x:c r="F15" s="28" t="str">
        <x:v>P2</x:v>
      </x:c>
      <x:c r="G15" s="28" t="str">
        <x:v>مقترح تقنية</x:v>
      </x:c>
    </x:row>
    <x:row r="16" ht="43" customHeight="1">
      <x:c r="A16" s="28" t="str">
        <x:v>ARCH11</x:v>
      </x:c>
      <x:c r="B16" s="28" t="str">
        <x:v>المحتوى</x:v>
      </x:c>
      <x:c r="C16" s="28" t="str">
        <x:v>Mission JSON</x:v>
      </x:c>
      <x:c r="D16" s="28" t="str">
        <x:v>معلومات المهمات منفصلة عن كود</x:v>
      </x:c>
      <x:c r="E16" s="28" t="str">
        <x:v>مخطط</x:v>
      </x:c>
      <x:c r="F16" s="28" t="str">
        <x:v>P1</x:v>
      </x:c>
      <x:c r="G16" s="28" t="str">
        <x:v>تصميم</x:v>
      </x:c>
    </x:row>
    <x:row r="17" ht="43" customHeight="1">
      <x:c r="A17" s="28" t="str">
        <x:v>ARCH12</x:v>
      </x:c>
      <x:c r="B17" s="28" t="str">
        <x:v>المحتوى</x:v>
      </x:c>
      <x:c r="C17" s="28" t="str">
        <x:v>Evidence JSON</x:v>
      </x:c>
      <x:c r="D17" s="28" t="str">
        <x:v>claim ID مع source ID</x:v>
      </x:c>
      <x:c r="E17" s="28" t="str">
        <x:v>مخطط</x:v>
      </x:c>
      <x:c r="F17" s="28" t="str">
        <x:v>P1</x:v>
      </x:c>
      <x:c r="G17" s="28" t="str">
        <x:v>تصميم</x:v>
      </x:c>
    </x:row>
    <x:row r="18" ht="43" customHeight="1">
      <x:c r="A18" s="28" t="str">
        <x:v>ARCH13</x:v>
      </x:c>
      <x:c r="B18" s="28" t="str">
        <x:v>المحتوى</x:v>
      </x:c>
      <x:c r="C18" s="28" t="str">
        <x:v>Localization JSON</x:v>
      </x:c>
      <x:c r="D18" s="28" t="str">
        <x:v>AR/EN مفاتيح موحدة</x:v>
      </x:c>
      <x:c r="E18" s="28" t="str">
        <x:v>مخطط</x:v>
      </x:c>
      <x:c r="F18" s="28" t="str">
        <x:v>P1</x:v>
      </x:c>
      <x:c r="G18" s="28" t="str">
        <x:v>تصميم</x:v>
      </x:c>
    </x:row>
    <x:row r="19" ht="43" customHeight="1">
      <x:c r="A19" s="28" t="str">
        <x:v>ARCH14</x:v>
      </x:c>
      <x:c r="B19" s="28" t="str">
        <x:v>الحفظ</x:v>
      </x:c>
      <x:c r="C19" s="28" t="str">
        <x:v>Versioned schema</x:v>
      </x:c>
      <x:c r="D19" s="28" t="str">
        <x:v>منع فساد التقدم عند تغييرات البناء</x:v>
      </x:c>
      <x:c r="E19" s="28" t="str">
        <x:v>مخطط</x:v>
      </x:c>
      <x:c r="F19" s="28" t="str">
        <x:v>P1</x:v>
      </x:c>
      <x:c r="G19" s="28" t="str">
        <x:v>تصميم</x:v>
      </x:c>
    </x:row>
    <x:row r="20" ht="43" customHeight="1">
      <x:c r="A20" s="28" t="str">
        <x:v>ARCH15</x:v>
      </x:c>
      <x:c r="B20" s="28" t="str">
        <x:v>QA</x:v>
      </x:c>
      <x:c r="C20" s="28" t="str">
        <x:v>Automated browser</x:v>
      </x:c>
      <x:c r="D20" s="28" t="str">
        <x:v>Playwright end-to-end</x:v>
      </x:c>
      <x:c r="E20" s="28" t="str">
        <x:v>موجود حاليًا</x:v>
      </x:c>
      <x:c r="F20" s="28" t="str">
        <x:v>P0</x:v>
      </x:c>
      <x:c r="G20" s="28" t="str">
        <x:v>موصوف في README، تحقق مستقل</x:v>
      </x:c>
    </x:row>
    <x:row r="21" ht="43" customHeight="1">
      <x:c r="A21" s="28" t="str">
        <x:v>ARCH16</x:v>
      </x:c>
      <x:c r="B21" s="28" t="str">
        <x:v>QA</x:v>
      </x:c>
      <x:c r="C21" s="28" t="str">
        <x:v>Logic tests</x:v>
      </x:c>
      <x:c r="D21" s="28" t="str">
        <x:v>puzzles/energy/transport</x:v>
      </x:c>
      <x:c r="E21" s="28" t="str">
        <x:v>مخطط</x:v>
      </x:c>
      <x:c r="F21" s="28" t="str">
        <x:v>P0</x:v>
      </x:c>
      <x:c r="G21" s="28" t="str">
        <x:v>مطلوب قبل التسليم</x:v>
      </x:c>
    </x:row>
    <x:row r="22" ht="43" customHeight="1">
      <x:c r="A22" s="28" t="str">
        <x:v>ARCH17</x:v>
      </x:c>
      <x:c r="B22" s="28" t="str">
        <x:v>QA</x:v>
      </x:c>
      <x:c r="C22" s="28" t="str">
        <x:v>Performance logging</x:v>
      </x:c>
      <x:c r="D22" s="28" t="str">
        <x:v>frame time and memory</x:v>
      </x:c>
      <x:c r="E22" s="28" t="str">
        <x:v>مخطط</x:v>
      </x:c>
      <x:c r="F22" s="28" t="str">
        <x:v>P1</x:v>
      </x:c>
      <x:c r="G22" s="28" t="str">
        <x:v>قياس فعلي</x:v>
      </x:c>
    </x:row>
    <x:row r="23" ht="43" customHeight="1">
      <x:c r="A23" s="28" t="str">
        <x:v>ARCH18</x:v>
      </x:c>
      <x:c r="B23" s="28" t="str">
        <x:v>التحكم</x:v>
      </x:c>
      <x:c r="C23" s="28" t="str">
        <x:v>Input mapping</x:v>
      </x:c>
      <x:c r="D23" s="28" t="str">
        <x:v>كائن موحد للحركة وE وR</x:v>
      </x:c>
      <x:c r="E23" s="28" t="str">
        <x:v>مخطط</x:v>
      </x:c>
      <x:c r="F23" s="28" t="str">
        <x:v>P1</x:v>
      </x:c>
      <x:c r="G23" s="28" t="str">
        <x:v>تقليل bugs</x:v>
      </x:c>
    </x:row>
    <x:row r="24" ht="43" customHeight="1">
      <x:c r="A24" s="28" t="str">
        <x:v>ARCH19</x:v>
      </x:c>
      <x:c r="B24" s="28" t="str">
        <x:v>التحكم</x:v>
      </x:c>
      <x:c r="C24" s="28" t="str">
        <x:v>Fixed timestep</x:v>
      </x:c>
      <x:c r="D24" s="28" t="str">
        <x:v>تحديث الحركة ب dt صحيح</x:v>
      </x:c>
      <x:c r="E24" s="28" t="str">
        <x:v>يحتاج تحقق</x:v>
      </x:c>
      <x:c r="F24" s="28" t="str">
        <x:v>P0</x:v>
      </x:c>
      <x:c r="G24" s="28" t="str">
        <x:v>غير مفحوص تفصيليًا</x:v>
      </x:c>
    </x:row>
    <x:row r="25" ht="43" customHeight="1">
      <x:c r="A25" s="28" t="str">
        <x:v>ARCH20</x:v>
      </x:c>
      <x:c r="B25" s="28" t="str">
        <x:v>التحكم</x:v>
      </x:c>
      <x:c r="C25" s="28" t="str">
        <x:v>Collider</x:v>
      </x:c>
      <x:c r="D25" s="28" t="str">
        <x:v>حدود التضاريس وروفر</x:v>
      </x:c>
      <x:c r="E25" s="28" t="str">
        <x:v>يحتاج تحقق</x:v>
      </x:c>
      <x:c r="F25" s="28" t="str">
        <x:v>P0</x:v>
      </x:c>
      <x:c r="G25" s="28" t="str">
        <x:v>الفحص الحالي محدود</x:v>
      </x:c>
    </x:row>
    <x:row r="26" ht="43" customHeight="1">
      <x:c r="A26" s="28" t="str">
        <x:v>ARCH21</x:v>
      </x:c>
      <x:c r="B26" s="28" t="str">
        <x:v>الأمن</x:v>
      </x:c>
      <x:c r="C26" s="28" t="str">
        <x:v>Saved progress validation</x:v>
      </x:c>
      <x:c r="D26" s="28" t="str">
        <x:v>تحقق من ملف/قيم الحفظ</x:v>
      </x:c>
      <x:c r="E26" s="28" t="str">
        <x:v>مخطط</x:v>
      </x:c>
      <x:c r="F26" s="28" t="str">
        <x:v>P1</x:v>
      </x:c>
      <x:c r="G26" s="28" t="str">
        <x:v>مطلوب قبل import/export</x:v>
      </x:c>
    </x:row>
    <x:row r="27" ht="43" customHeight="1">
      <x:c r="A27" s="28" t="str">
        <x:v>ARCH22</x:v>
      </x:c>
      <x:c r="B27" s="28" t="str">
        <x:v>الأمن</x:v>
      </x:c>
      <x:c r="C27" s="28" t="str">
        <x:v>No personal data</x:v>
      </x:c>
      <x:c r="D27" s="28" t="str">
        <x:v>لا حسابات ولا tracking</x:v>
      </x:c>
      <x:c r="E27" s="28" t="str">
        <x:v>موجود حاليًا</x:v>
      </x:c>
      <x:c r="F27" s="28" t="str">
        <x:v>P0</x:v>
      </x:c>
      <x:c r="G27" s="28" t="str">
        <x:v>README الإصدار IV</x:v>
      </x:c>
    </x:row>
    <x:row r="28" ht="43" customHeight="1">
      <x:c r="A28" s="28" t="str">
        <x:v>ARCH23</x:v>
      </x:c>
      <x:c r="B28" s="28" t="str">
        <x:v>إعادة الإنتاج</x:v>
      </x:c>
      <x:c r="C28" s="28" t="str">
        <x:v>Pinned dependencies</x:v>
      </x:c>
      <x:c r="D28" s="28" t="str">
        <x:v>لن تستخدم مصادر تتغير وقت العرض</x:v>
      </x:c>
      <x:c r="E28" s="28" t="str">
        <x:v>موجود حاليًا</x:v>
      </x:c>
      <x:c r="F28" s="28" t="str">
        <x:v>P0</x:v>
      </x:c>
      <x:c r="G28" s="28" t="str">
        <x:v>Standalone</x:v>
      </x:c>
    </x:row>
    <x:row r="29" ht="43" customHeight="1">
      <x:c r="A29" s="28" t="str">
        <x:v>ARCH24</x:v>
      </x:c>
      <x:c r="B29" s="28" t="str">
        <x:v>الأصول</x:v>
      </x:c>
      <x:c r="C29" s="28" t="str">
        <x:v>Attribution register</x:v>
      </x:c>
      <x:c r="D29" s="28" t="str">
        <x:v>كل ملف/رخصة/تاريخ وصول</x:v>
      </x:c>
      <x:c r="E29" s="28" t="str">
        <x:v>مخطط</x:v>
      </x:c>
      <x:c r="F29" s="28" t="str">
        <x:v>P0</x:v>
      </x:c>
      <x:c r="G29" s="28" t="str">
        <x:v>S13/S15</x:v>
      </x:c>
    </x:row>
    <x:row r="30" ht="43" customHeight="1">
      <x:c r="A30" s="28" t="str">
        <x:v>ARCH25</x:v>
      </x:c>
      <x:c r="B30" s="28" t="str">
        <x:v>الأصول</x:v>
      </x:c>
      <x:c r="C30" s="28" t="str">
        <x:v>3D optional</x:v>
      </x:c>
      <x:c r="D30" s="28" t="str">
        <x:v>لا ندمج نماذج بلا حاجة</x:v>
      </x:c>
      <x:c r="E30" s="28" t="str">
        <x:v>مخطط</x:v>
      </x:c>
      <x:c r="F30" s="28" t="str">
        <x:v>P2</x:v>
      </x:c>
      <x:c r="G30" s="28" t="str">
        <x:v>S15</x:v>
      </x:c>
    </x:row>
    <x:row r="31" ht="43" customHeight="1">
      <x:c r="A31" s="28" t="str">
        <x:v>ARCH26</x:v>
      </x:c>
      <x:c r="B31" s="28" t="str">
        <x:v>الاختبار</x:v>
      </x:c>
      <x:c r="C31" s="28" t="str">
        <x:v>Desktop</x:v>
      </x:c>
      <x:c r="D31" s="28" t="str">
        <x:v>Chrome/Edge/Firefox</x:v>
      </x:c>
      <x:c r="E31" s="28" t="str">
        <x:v>يحتاج تحقق</x:v>
      </x:c>
      <x:c r="F31" s="28" t="str">
        <x:v>P0</x:v>
      </x:c>
      <x:c r="G31" s="28" t="str">
        <x:v>المستهدف</x:v>
      </x:c>
    </x:row>
    <x:row r="32" ht="43" customHeight="1">
      <x:c r="A32" s="28" t="str">
        <x:v>ARCH27</x:v>
      </x:c>
      <x:c r="B32" s="28" t="str">
        <x:v>الاختبار</x:v>
      </x:c>
      <x:c r="C32" s="28" t="str">
        <x:v>Touch</x:v>
      </x:c>
      <x:c r="D32" s="28" t="str">
        <x:v>تجربة Tablet</x:v>
      </x:c>
      <x:c r="E32" s="28" t="str">
        <x:v>مخطط</x:v>
      </x:c>
      <x:c r="F32" s="28" t="str">
        <x:v>P2</x:v>
      </x:c>
      <x:c r="G32" s="28" t="str">
        <x:v>ليس شرطًا لنسخة الكمبيوتر</x:v>
      </x:c>
    </x:row>
    <x:row r="33" ht="43" customHeight="1">
      <x:c r="A33" s="28" t="str">
        <x:v>ARCH28</x:v>
      </x:c>
      <x:c r="B33" s="28" t="str">
        <x:v>العرض</x:v>
      </x:c>
      <x:c r="C33" s="28" t="str">
        <x:v>Offline fallback</x:v>
      </x:c>
      <x:c r="D33" s="28" t="str">
        <x:v>نسخة HTML تعمل دون إنترنت</x:v>
      </x:c>
      <x:c r="E33" s="28" t="str">
        <x:v>موجود حاليًا</x:v>
      </x:c>
      <x:c r="F33" s="28" t="str">
        <x:v>P0</x:v>
      </x:c>
      <x:c r="G33" s="28" t="str">
        <x:v>README</x:v>
      </x:c>
    </x:row>
    <x:row r="34" ht="43" customHeight="1">
      <x:c r="A34" s="28" t="str">
        <x:v>ARCH29</x:v>
      </x:c>
      <x:c r="B34" s="28" t="str">
        <x:v>النشر</x:v>
      </x:c>
      <x:c r="C34" s="28" t="str">
        <x:v>Static hosting</x:v>
      </x:c>
      <x:c r="D34" s="28" t="str">
        <x:v>HTTPS مع direct play</x:v>
      </x:c>
      <x:c r="E34" s="28" t="str">
        <x:v>مخطط</x:v>
      </x:c>
      <x:c r="F34" s="28" t="str">
        <x:v>P0</x:v>
      </x:c>
      <x:c r="G34" s="28" t="str">
        <x:v>لا رابط منشور مثبت</x:v>
      </x:c>
    </x:row>
    <x:row r="35" ht="43" customHeight="1">
      <x:c r="A35" s="28" t="str">
        <x:v>ARCH30</x:v>
      </x:c>
      <x:c r="B35" s="28" t="str">
        <x:v>التوثيق</x:v>
      </x:c>
      <x:c r="C35" s="28" t="str">
        <x:v>Source citations</x:v>
      </x:c>
      <x:c r="D35" s="28" t="str">
        <x:v>روابط داخل المعرض</x:v>
      </x:c>
      <x:c r="E35" s="28" t="str">
        <x:v>يحتاج تحقق</x:v>
      </x:c>
      <x:c r="F35" s="28" t="str">
        <x:v>P0</x:v>
      </x:c>
      <x:c r="G35" s="28" t="str">
        <x:v>S05/S09</x:v>
      </x:c>
    </x:row>
    <x:row r="36" ht="43" customHeight="1">
      <x:c r="A36" s="28" t="str">
        <x:v>ARCH31</x:v>
      </x:c>
      <x:c r="B36" s="28" t="str">
        <x:v>التوثيق</x:v>
      </x:c>
      <x:c r="C36" s="28" t="str">
        <x:v>Claim provenance</x:v>
      </x:c>
      <x:c r="D36" s="28" t="str">
        <x:v>سجل مصدر كل حقيقة</x:v>
      </x:c>
      <x:c r="E36" s="28" t="str">
        <x:v>مخطط</x:v>
      </x:c>
      <x:c r="F36" s="28" t="str">
        <x:v>P0</x:v>
      </x:c>
      <x:c r="G36" s="28" t="str">
        <x:v>ورقة الأدلة العلمية</x:v>
      </x:c>
    </x:row>
    <x:row r="37" ht="43" customHeight="1">
      <x:c r="A37" s="28" t="str">
        <x:v>ARCH32</x:v>
      </x:c>
      <x:c r="B37" s="28" t="str">
        <x:v>التحقق</x:v>
      </x:c>
      <x:c r="C37" s="28" t="str">
        <x:v>Error boundaries</x:v>
      </x:c>
      <x:c r="D37" s="28" t="str">
        <x:v>مسار استعادة عند خطأ</x:v>
      </x:c>
      <x:c r="E37" s="28" t="str">
        <x:v>مخطط</x:v>
      </x:c>
      <x:c r="F37" s="28" t="str">
        <x:v>P1</x:v>
      </x:c>
      <x:c r="G37" s="28" t="str">
        <x:v>أولوية بعد الأعطال الحرجة</x:v>
      </x:c>
    </x:row>
    <x:row r="38" ht="43" customHeight="1">
      <x:c r="A38" s="28" t="str">
        <x:v>ARCH33</x:v>
      </x:c>
      <x:c r="B38" s="28" t="str">
        <x:v>التطوير</x:v>
      </x:c>
      <x:c r="C38" s="28" t="str">
        <x:v>Git commits</x:v>
      </x:c>
      <x:c r="D38" s="28" t="str">
        <x:v>توثيق العمل المتوافق مع الهاكاثون</x:v>
      </x:c>
      <x:c r="E38" s="28" t="str">
        <x:v>محظور حتى التحقق</x:v>
      </x:c>
      <x:c r="F38" s="28" t="str">
        <x:v>حرج</x:v>
      </x:c>
      <x:c r="G38" s="28" t="str">
        <x:v>S03</x:v>
      </x:c>
    </x:row>
    <x:row r="39" ht="43" customHeight="1">
      <x:c r="A39" s="28" t="str">
        <x:v>ARCH34</x:v>
      </x:c>
      <x:c r="B39" s="28" t="str">
        <x:v>التطوير</x:v>
      </x:c>
      <x:c r="C39" s="28" t="str">
        <x:v>Event branch</x:v>
      </x:c>
      <x:c r="D39" s="28" t="str">
        <x:v>مسار تنفيذ خلال نافذة الأهلية</x:v>
      </x:c>
      <x:c r="E39" s="28" t="str">
        <x:v>محظور حتى التحقق</x:v>
      </x:c>
      <x:c r="F39" s="28" t="str">
        <x:v>حرج</x:v>
      </x:c>
      <x:c r="G39" s="28" t="str">
        <x:v>S03</x:v>
      </x:c>
    </x:row>
    <x:row r="40" ht="43" customHeight="1">
      <x:c r="A40" s="28" t="str">
        <x:v>ARCH35</x:v>
      </x:c>
      <x:c r="B40" s="28" t="str">
        <x:v>المكونات</x:v>
      </x:c>
      <x:c r="C40" s="28" t="str">
        <x:v>State machine</x:v>
      </x:c>
      <x:c r="D40" s="28" t="str">
        <x:v>phase enumerations و valid transitions</x:v>
      </x:c>
      <x:c r="E40" s="28" t="str">
        <x:v>يحتاج تحقق</x:v>
      </x:c>
      <x:c r="F40" s="28" t="str">
        <x:v>P0</x:v>
      </x:c>
      <x:c r="G40" s="28" t="str">
        <x:v>من ملف JS</x:v>
      </x:c>
    </x:row>
    <x:row r="41" ht="43" customHeight="1">
      <x:c r="A41" s="28" t="str">
        <x:v>ARCH36</x:v>
      </x:c>
      <x:c r="B41" s="28" t="str">
        <x:v>العزل</x:v>
      </x:c>
      <x:c r="C41" s="28" t="str">
        <x:v>Science/game separation</x:v>
      </x:c>
      <x:c r="D41" s="28" t="str">
        <x:v>نموذج الفيزياء مستقل عن rendering</x:v>
      </x:c>
      <x:c r="E41" s="28" t="str">
        <x:v>مخطط</x:v>
      </x:c>
      <x:c r="F41" s="28" t="str">
        <x:v>P1</x:v>
      </x:c>
      <x:c r="G41" s="28" t="str">
        <x:v>توسع لاحق</x:v>
      </x:c>
    </x:row>
  </x:sheetData>
  <x:mergeCells>
    <x:mergeCell ref="A1:G1"/>
    <x:mergeCell ref="A2:G2"/>
    <x:mergeCell ref="A3:G3"/>
  </x:mergeCells>
  <x:conditionalFormatting sqref="E6:E41">
    <x:cfRule type="expression" dxfId="54" priority="1">
      <x:formula>E6="مكتمل"</x:formula>
    </x:cfRule>
    <x:cfRule type="expression" dxfId="55" priority="2">
      <x:formula>E6="محظور حتى التحقق"</x:formula>
    </x:cfRule>
    <x:cfRule type="expression" dxfId="56" priority="3">
      <x:formula>E6="يحتاج تحقق"</x:formula>
    </x:cfRule>
  </x:conditionalFormatting>
  <x:conditionalFormatting sqref="F6:F41">
    <x:cfRule type="expression" dxfId="57" priority="4">
      <x:formula>F6="P0"</x:formula>
    </x:cfRule>
    <x:cfRule type="expression" dxfId="58" priority="5">
      <x:formula>F6="حرج"</x:formula>
    </x:cfRule>
  </x:conditionalFormatting>
  <x:dataValidations count="1">
    <x:dataValidation type="list" sqref="E6:E41">
      <x:formula1>"موجود حاليًا,قيد التطوير,مخطط,يحتاج تحقق,مكتمل,لم يبدأ,مؤجل,محظور حتى التحقق,غير منطبق"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72" hidden="0" customWidth="1"/>
    <x:col min="3" max="3" width="30" hidden="0" customWidth="1"/>
    <x:col min="4" max="4" width="64" hidden="0" customWidth="1"/>
    <x:col min="5" max="5" width="13" hidden="0" customWidth="1"/>
    <x:col min="6" max="6" width="22" hidden="0" customWidth="1"/>
    <x:col min="7" max="7" width="23" hidden="0" customWidth="1"/>
    <x:col min="8" max="8" width="29" hidden="0" customWidth="1"/>
    <x:col min="9" max="9" width="11" hidden="0" customWidth="1"/>
  </x:cols>
  <x:sheetData>
    <x:row r="1" ht="38" customHeight="1">
      <x:c r="A1" s="4" t="str">
        <x:v>خطة التنفيذ</x:v>
      </x:c>
      <x:c r="B1" s="4"/>
      <x:c r="C1" s="4"/>
      <x:c r="D1" s="4"/>
      <x:c r="E1" s="4"/>
      <x:c r="F1" s="4"/>
      <x:c r="G1" s="4"/>
      <x:c r="H1" s="4"/>
      <x:c r="I1" s="4"/>
    </x:row>
    <x:row r="2" ht="29" customHeight="1">
      <x:c r="A2" s="10" t="str">
        <x:v>Backlog حي: كل مهمة لها مخرجات ومعيار قبول ومسؤول افتراضي؛ لا يدّعي أنه جدول منجز</x:v>
      </x:c>
      <x:c r="B2" s="10"/>
      <x:c r="C2" s="10"/>
      <x:c r="D2" s="10"/>
      <x:c r="E2" s="10"/>
      <x:c r="F2" s="10"/>
      <x:c r="G2" s="10"/>
      <x:c r="H2" s="10"/>
      <x:c r="I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  <x:c r="H3" s="15"/>
      <x:c r="I3" s="15"/>
    </x:row>
    <x:row r="5" ht="34" customHeight="1">
      <x:c r="A5" s="21" t="str">
        <x:v>ID</x:v>
      </x:c>
      <x:c r="B5" s="21" t="str">
        <x:v>المهمة</x:v>
      </x:c>
      <x:c r="C5" s="21" t="str">
        <x:v>مالك الدور</x:v>
      </x:c>
      <x:c r="D5" s="21" t="str">
        <x:v>معيار القبول</x:v>
      </x:c>
      <x:c r="E5" s="21" t="str">
        <x:v>الأولوية</x:v>
      </x:c>
      <x:c r="F5" s="21" t="str">
        <x:v>الحالة</x:v>
      </x:c>
      <x:c r="G5" s="21" t="str">
        <x:v>مرجع</x:v>
      </x:c>
      <x:c r="H5" s="21" t="str">
        <x:v>النافذة الزمنية</x:v>
      </x:c>
      <x:c r="I5" s="21" t="str">
        <x:v>الترتيب</x:v>
      </x:c>
    </x:row>
    <x:row r="6" ht="43" customHeight="1">
      <x:c r="A6" s="28" t="str">
        <x:v>EL01</x:v>
      </x:c>
      <x:c r="B6" s="28" t="str">
        <x:v>الحصول على حكم رسمي بشأن الأصول والنسخ السابقة</x:v>
      </x:c>
      <x:c r="C6" s="28" t="str">
        <x:v>المنظم</x:v>
      </x:c>
      <x:c r="D6" s="28" t="str">
        <x:v>لا تبدأ توظيف كود سابق لتسليم المسابقة قبل الرد</x:v>
      </x:c>
      <x:c r="E6" s="28" t="str">
        <x:v>حرج</x:v>
      </x:c>
      <x:c r="F6" s="28" t="str">
        <x:v>محظور حتى التحقق</x:v>
      </x:c>
      <x:c r="G6" s="28" t="str">
        <x:v>EL-01</x:v>
      </x:c>
      <x:c r="H6" s="28" t="str">
        <x:v>14–15 نوفمبر</x:v>
      </x:c>
      <x:c r="I6" s="28" t="n">
        <x:v>1</x:v>
      </x:c>
    </x:row>
    <x:row r="7" ht="43" customHeight="1">
      <x:c r="A7" s="28" t="str">
        <x:v>EL02</x:v>
      </x:c>
      <x:c r="B7" s="28" t="str">
        <x:v>تحديد أعمال 14–15 نوفمبر المسموحة</x:v>
      </x:c>
      <x:c r="C7" s="28" t="str">
        <x:v>قائد الفريق</x:v>
      </x:c>
      <x:c r="D7" s="28" t="str">
        <x:v>وثيقة نطاق Event Sprint</x:v>
      </x:c>
      <x:c r="E7" s="28" t="str">
        <x:v>حرج</x:v>
      </x:c>
      <x:c r="F7" s="28" t="str">
        <x:v>محظور حتى التحقق</x:v>
      </x:c>
      <x:c r="G7" s="28" t="str">
        <x:v>EL-02</x:v>
      </x:c>
      <x:c r="H7" s="28" t="str">
        <x:v>14–15 نوفمبر</x:v>
      </x:c>
      <x:c r="I7" s="28" t="n">
        <x:v>1</x:v>
      </x:c>
    </x:row>
    <x:row r="8" ht="43" customHeight="1">
      <x:c r="A8" s="28" t="str">
        <x:v>EL03</x:v>
      </x:c>
      <x:c r="B8" s="28" t="str">
        <x:v>توثيق مصادرك قبل التنفيذ</x:v>
      </x:c>
      <x:c r="C8" s="28" t="str">
        <x:v>المراجع العلمي</x:v>
      </x:c>
      <x:c r="D8" s="28" t="str">
        <x:v>سجل مصادر ومعلومات</x:v>
      </x:c>
      <x:c r="E8" s="28" t="str">
        <x:v>P0</x:v>
      </x:c>
      <x:c r="F8" s="28" t="str">
        <x:v>مخطط</x:v>
      </x:c>
      <x:c r="G8" s="28" t="str">
        <x:v>S05</x:v>
      </x:c>
      <x:c r="H8" s="28" t="str">
        <x:v>قبل/أثناء الحدث وفق السماح</x:v>
      </x:c>
      <x:c r="I8" s="28" t="n">
        <x:v>2</x:v>
      </x:c>
    </x:row>
    <x:row r="9" ht="43" customHeight="1">
      <x:c r="A9" s="28" t="str">
        <x:v>PR01</x:v>
      </x:c>
      <x:c r="B9" s="28" t="str">
        <x:v>اعتماد problem-solution واحد</x:v>
      </x:c>
      <x:c r="C9" s="28" t="str">
        <x:v>مصمم اللعبة</x:v>
      </x:c>
      <x:c r="D9" s="28" t="str">
        <x:v>قصة الأجهزة والنتائج العلمية</x:v>
      </x:c>
      <x:c r="E9" s="28" t="str">
        <x:v>P0</x:v>
      </x:c>
      <x:c r="F9" s="28" t="str">
        <x:v>مخطط</x:v>
      </x:c>
      <x:c r="G9" s="28" t="str">
        <x:v>ملخص تنفيذي</x:v>
      </x:c>
      <x:c r="H9" s="28" t="str">
        <x:v>قبل/أثناء الحدث وفق السماح</x:v>
      </x:c>
      <x:c r="I9" s="28" t="n">
        <x:v>2</x:v>
      </x:c>
    </x:row>
    <x:row r="10" ht="43" customHeight="1">
      <x:c r="A10" s="28" t="str">
        <x:v>PR02</x:v>
      </x:c>
      <x:c r="B10" s="28" t="str">
        <x:v>تدقيق المحتوى العربي/الإنجليزي</x:v>
      </x:c>
      <x:c r="C10" s="28" t="str">
        <x:v>UX</x:v>
      </x:c>
      <x:c r="D10" s="28" t="str">
        <x:v>AR/EN دون أخطاء</x:v>
      </x:c>
      <x:c r="E10" s="28" t="str">
        <x:v>P0</x:v>
      </x:c>
      <x:c r="F10" s="28" t="str">
        <x:v>مخطط</x:v>
      </x:c>
      <x:c r="G10" s="28" t="str">
        <x:v>واجهة</x:v>
      </x:c>
      <x:c r="H10" s="28" t="str">
        <x:v>قبل/أثناء الحدث وفق السماح</x:v>
      </x:c>
      <x:c r="I10" s="28" t="n">
        <x:v>2</x:v>
      </x:c>
    </x:row>
    <x:row r="11" ht="43" customHeight="1">
      <x:c r="A11" s="28" t="str">
        <x:v>PR03</x:v>
      </x:c>
      <x:c r="B11" s="28" t="str">
        <x:v>ضبط الخريطة القمرية</x:v>
      </x:c>
      <x:c r="C11" s="28" t="str">
        <x:v>فنان/مطوّر</x:v>
      </x:c>
      <x:c r="D11" s="28" t="str">
        <x:v>الأدلة قابلة للاكتشاف</x:v>
      </x:c>
      <x:c r="E11" s="28" t="str">
        <x:v>P0</x:v>
      </x:c>
      <x:c r="F11" s="28" t="str">
        <x:v>مخطط</x:v>
      </x:c>
      <x:c r="G11" s="28" t="str">
        <x:v>المرحلة C1-02</x:v>
      </x:c>
      <x:c r="H11" s="28" t="str">
        <x:v>قبل/أثناء الحدث وفق السماح</x:v>
      </x:c>
      <x:c r="I11" s="28" t="n">
        <x:v>2</x:v>
      </x:c>
    </x:row>
    <x:row r="12" ht="43" customHeight="1">
      <x:c r="A12" s="28" t="str">
        <x:v>PR04</x:v>
      </x:c>
      <x:c r="B12" s="28" t="str">
        <x:v>تحسين توجيه أول دقيقة</x:v>
      </x:c>
      <x:c r="C12" s="28" t="str">
        <x:v>مصمم اللعبة</x:v>
      </x:c>
      <x:c r="D12" s="28" t="str">
        <x:v>تفاعل أول في 30s</x:v>
      </x:c>
      <x:c r="E12" s="28" t="str">
        <x:v>P0</x:v>
      </x:c>
      <x:c r="F12" s="28" t="str">
        <x:v>مخطط</x:v>
      </x:c>
      <x:c r="G12" s="28" t="str">
        <x:v>UX01</x:v>
      </x:c>
      <x:c r="H12" s="28" t="str">
        <x:v>قبل/أثناء الحدث وفق السماح</x:v>
      </x:c>
      <x:c r="I12" s="28" t="n">
        <x:v>2</x:v>
      </x:c>
    </x:row>
    <x:row r="13" ht="43" customHeight="1">
      <x:c r="A13" s="28" t="str">
        <x:v>PR05</x:v>
      </x:c>
      <x:c r="B13" s="28" t="str">
        <x:v>تقليل زمن لوحة الربط</x:v>
      </x:c>
      <x:c r="C13" s="28" t="str">
        <x:v>مطوّر Gameplay</x:v>
      </x:c>
      <x:c r="D13" s="28" t="str">
        <x:v>منطق موصلات واضح</x:v>
      </x:c>
      <x:c r="E13" s="28" t="str">
        <x:v>P0</x:v>
      </x:c>
      <x:c r="F13" s="28" t="str">
        <x:v>مخطط</x:v>
      </x:c>
      <x:c r="G13" s="28" t="str">
        <x:v>PZ03</x:v>
      </x:c>
      <x:c r="H13" s="28" t="str">
        <x:v>قبل/أثناء الحدث وفق السماح</x:v>
      </x:c>
      <x:c r="I13" s="28" t="n">
        <x:v>2</x:v>
      </x:c>
    </x:row>
    <x:row r="14" ht="43" customHeight="1">
      <x:c r="A14" s="28" t="str">
        <x:v>PR06</x:v>
      </x:c>
      <x:c r="B14" s="28" t="str">
        <x:v>تحسين steering rover</x:v>
      </x:c>
      <x:c r="C14" s="28" t="str">
        <x:v>مطوّر Gameplay</x:v>
      </x:c>
      <x:c r="D14" s="28" t="str">
        <x:v>يتجاوز 3 عوائق</x:v>
      </x:c>
      <x:c r="E14" s="28" t="str">
        <x:v>P0</x:v>
      </x:c>
      <x:c r="F14" s="28" t="str">
        <x:v>مخطط</x:v>
      </x:c>
      <x:c r="G14" s="28" t="str">
        <x:v>PZ05</x:v>
      </x:c>
      <x:c r="H14" s="28" t="str">
        <x:v>قبل/أثناء الحدث وفق السماح</x:v>
      </x:c>
      <x:c r="I14" s="28" t="n">
        <x:v>2</x:v>
      </x:c>
    </x:row>
    <x:row r="15" ht="43" customHeight="1">
      <x:c r="A15" s="28" t="str">
        <x:v>PR07</x:v>
      </x:c>
      <x:c r="B15" s="28" t="str">
        <x:v>HUD عدّاد الحزم</x:v>
      </x:c>
      <x:c r="C15" s="28" t="str">
        <x:v>مطوّر UI</x:v>
      </x:c>
      <x:c r="D15" s="28" t="str">
        <x:v>منع softlock 3/3</x:v>
      </x:c>
      <x:c r="E15" s="28" t="str">
        <x:v>P0</x:v>
      </x:c>
      <x:c r="F15" s="28" t="str">
        <x:v>مخطط</x:v>
      </x:c>
      <x:c r="G15" s="28" t="str">
        <x:v>PZ06</x:v>
      </x:c>
      <x:c r="H15" s="28" t="str">
        <x:v>قبل/أثناء الحدث وفق السماح</x:v>
      </x:c>
      <x:c r="I15" s="28" t="n">
        <x:v>2</x:v>
      </x:c>
    </x:row>
    <x:row r="16" ht="43" customHeight="1">
      <x:c r="A16" s="28" t="str">
        <x:v>PR08</x:v>
      </x:c>
      <x:c r="B16" s="28" t="str">
        <x:v>اختبار 3 مسارات بتأثير مختلف</x:v>
      </x:c>
      <x:c r="C16" s="28" t="str">
        <x:v>QA</x:v>
      </x:c>
      <x:c r="D16" s="28" t="str">
        <x:v>3 مسارات قابلة للإنهاء</x:v>
      </x:c>
      <x:c r="E16" s="28" t="str">
        <x:v>P0</x:v>
      </x:c>
      <x:c r="F16" s="28" t="str">
        <x:v>مخطط</x:v>
      </x:c>
      <x:c r="G16" s="28" t="str">
        <x:v>PZ04</x:v>
      </x:c>
      <x:c r="H16" s="28" t="str">
        <x:v>قبل/أثناء الحدث وفق السماح</x:v>
      </x:c>
      <x:c r="I16" s="28" t="n">
        <x:v>2</x:v>
      </x:c>
    </x:row>
    <x:row r="17" ht="43" customHeight="1">
      <x:c r="A17" s="28" t="str">
        <x:v>PR09</x:v>
      </x:c>
      <x:c r="B17" s="28" t="str">
        <x:v>تصنيف علمي بعبارات صحيحة</x:v>
      </x:c>
      <x:c r="C17" s="28" t="str">
        <x:v>علمي</x:v>
      </x:c>
      <x:c r="D17" s="28" t="str">
        <x:v>3 عناصر قابلة للدفاع</x:v>
      </x:c>
      <x:c r="E17" s="28" t="str">
        <x:v>P0</x:v>
      </x:c>
      <x:c r="F17" s="28" t="str">
        <x:v>مخطط</x:v>
      </x:c>
      <x:c r="G17" s="28" t="str">
        <x:v>PZ07</x:v>
      </x:c>
      <x:c r="H17" s="28" t="str">
        <x:v>قبل/أثناء الحدث وفق السماح</x:v>
      </x:c>
      <x:c r="I17" s="28" t="n">
        <x:v>2</x:v>
      </x:c>
    </x:row>
    <x:row r="18" ht="43" customHeight="1">
      <x:c r="A18" s="28" t="str">
        <x:v>PR10</x:v>
      </x:c>
      <x:c r="B18" s="28" t="str">
        <x:v>اختبار الصيغة الزمنية ووحداتها</x:v>
      </x:c>
      <x:c r="C18" s="28" t="str">
        <x:v>علمي</x:v>
      </x:c>
      <x:c r="D18" s="28" t="str">
        <x:v>t=d/v بدون خطأ</x:v>
      </x:c>
      <x:c r="E18" s="28" t="str">
        <x:v>P0</x:v>
      </x:c>
      <x:c r="F18" s="28" t="str">
        <x:v>مخطط</x:v>
      </x:c>
      <x:c r="G18" s="28" t="str">
        <x:v>SIM01</x:v>
      </x:c>
      <x:c r="H18" s="28" t="str">
        <x:v>قبل/أثناء الحدث وفق السماح</x:v>
      </x:c>
      <x:c r="I18" s="28" t="n">
        <x:v>2</x:v>
      </x:c>
    </x:row>
    <x:row r="19" ht="43" customHeight="1">
      <x:c r="A19" s="28" t="str">
        <x:v>PR11</x:v>
      </x:c>
      <x:c r="B19" s="28" t="str">
        <x:v>تفسير الاستنتاج النهائي</x:v>
      </x:c>
      <x:c r="C19" s="28" t="str">
        <x:v>سرد</x:v>
      </x:c>
      <x:c r="D19" s="28" t="str">
        <x:v>مفهوم دون مدرب</x:v>
      </x:c>
      <x:c r="E19" s="28" t="str">
        <x:v>P0</x:v>
      </x:c>
      <x:c r="F19" s="28" t="str">
        <x:v>مخطط</x:v>
      </x:c>
      <x:c r="G19" s="28" t="str">
        <x:v>PZ09</x:v>
      </x:c>
      <x:c r="H19" s="28" t="str">
        <x:v>قبل/أثناء الحدث وفق السماح</x:v>
      </x:c>
      <x:c r="I19" s="28" t="n">
        <x:v>2</x:v>
      </x:c>
    </x:row>
    <x:row r="20" ht="43" customHeight="1">
      <x:c r="A20" s="28" t="str">
        <x:v>PR12</x:v>
      </x:c>
      <x:c r="B20" s="28" t="str">
        <x:v>توضيح أن المسارات افتراضية</x:v>
      </x:c>
      <x:c r="C20" s="28" t="str">
        <x:v>مراجع علمي</x:v>
      </x:c>
      <x:c r="D20" s="28" t="str">
        <x:v>وسم ظاهر</x:v>
      </x:c>
      <x:c r="E20" s="28" t="str">
        <x:v>P0</x:v>
      </x:c>
      <x:c r="F20" s="28" t="str">
        <x:v>مخطط</x:v>
      </x:c>
      <x:c r="G20" s="28" t="str">
        <x:v>CL05</x:v>
      </x:c>
      <x:c r="H20" s="28" t="str">
        <x:v>قبل/أثناء الحدث وفق السماح</x:v>
      </x:c>
      <x:c r="I20" s="28" t="n">
        <x:v>2</x:v>
      </x:c>
    </x:row>
    <x:row r="21" ht="43" customHeight="1">
      <x:c r="A21" s="28" t="str">
        <x:v>PR13</x:v>
      </x:c>
      <x:c r="B21" s="28" t="str">
        <x:v>توثيق خاتمة المريخ 2019</x:v>
      </x:c>
      <x:c r="C21" s="28" t="str">
        <x:v>مراجع علمي</x:v>
      </x:c>
      <x:c r="D21" s="28" t="str">
        <x:v>2018/2019 صحيح</x:v>
      </x:c>
      <x:c r="E21" s="28" t="str">
        <x:v>P0</x:v>
      </x:c>
      <x:c r="F21" s="28" t="str">
        <x:v>مخطط</x:v>
      </x:c>
      <x:c r="G21" s="28" t="str">
        <x:v>CL12</x:v>
      </x:c>
      <x:c r="H21" s="28" t="str">
        <x:v>قبل/أثناء الحدث وفق السماح</x:v>
      </x:c>
      <x:c r="I21" s="28" t="n">
        <x:v>2</x:v>
      </x:c>
    </x:row>
    <x:row r="22" ht="43" customHeight="1">
      <x:c r="A22" s="28" t="str">
        <x:v>PR14</x:v>
      </x:c>
      <x:c r="B22" s="28" t="str">
        <x:v>تعديل ميزانية Sol 1-4</x:v>
      </x:c>
      <x:c r="C22" s="28" t="str">
        <x:v>مطوّر Gameplay</x:v>
      </x:c>
      <x:c r="D22" s="28" t="str">
        <x:v>لا حالات مستحيلة</x:v>
      </x:c>
      <x:c r="E22" s="28" t="str">
        <x:v>P0</x:v>
      </x:c>
      <x:c r="F22" s="28" t="str">
        <x:v>مخطط</x:v>
      </x:c>
      <x:c r="G22" s="28" t="str">
        <x:v>SIM08</x:v>
      </x:c>
      <x:c r="H22" s="28" t="str">
        <x:v>قبل/أثناء الحدث وفق السماح</x:v>
      </x:c>
      <x:c r="I22" s="28" t="n">
        <x:v>2</x:v>
      </x:c>
    </x:row>
    <x:row r="23" ht="43" customHeight="1">
      <x:c r="A23" s="28" t="str">
        <x:v>PR15</x:v>
      </x:c>
      <x:c r="B23" s="28" t="str">
        <x:v>اختبار الصفر في الطاقة</x:v>
      </x:c>
      <x:c r="C23" s="28" t="str">
        <x:v>QA</x:v>
      </x:c>
      <x:c r="D23" s="28" t="str">
        <x:v>clamp واعادة</x:v>
      </x:c>
      <x:c r="E23" s="28" t="str">
        <x:v>P0</x:v>
      </x:c>
      <x:c r="F23" s="28" t="str">
        <x:v>مخطط</x:v>
      </x:c>
      <x:c r="G23" s="28" t="str">
        <x:v>SIM08</x:v>
      </x:c>
      <x:c r="H23" s="28" t="str">
        <x:v>قبل/أثناء الحدث وفق السماح</x:v>
      </x:c>
      <x:c r="I23" s="28" t="n">
        <x:v>2</x:v>
      </x:c>
    </x:row>
    <x:row r="24" ht="43" customHeight="1">
      <x:c r="A24" s="28" t="str">
        <x:v>PR16</x:v>
      </x:c>
      <x:c r="B24" s="28" t="str">
        <x:v>مراجعة شيفرة Mars</x:v>
      </x:c>
      <x:c r="C24" s="28" t="str">
        <x:v>QA</x:v>
      </x:c>
      <x:c r="D24" s="28" t="str">
        <x:v>لا تخمين عشوائي</x:v>
      </x:c>
      <x:c r="E24" s="28" t="str">
        <x:v>P0</x:v>
      </x:c>
      <x:c r="F24" s="28" t="str">
        <x:v>مخطط</x:v>
      </x:c>
      <x:c r="G24" s="28" t="str">
        <x:v>PZ14</x:v>
      </x:c>
      <x:c r="H24" s="28" t="str">
        <x:v>قبل/أثناء الحدث وفق السماح</x:v>
      </x:c>
      <x:c r="I24" s="28" t="n">
        <x:v>2</x:v>
      </x:c>
    </x:row>
    <x:row r="25" ht="43" customHeight="1">
      <x:c r="A25" s="28" t="str">
        <x:v>PR17</x:v>
      </x:c>
      <x:c r="B25" s="28" t="str">
        <x:v>تجميل متحف القمر</x:v>
      </x:c>
      <x:c r="C25" s="28" t="str">
        <x:v>فنان</x:v>
      </x:c>
      <x:c r="D25" s="28" t="str">
        <x:v>تحول بصري محسوس</x:v>
      </x:c>
      <x:c r="E25" s="28" t="str">
        <x:v>P1</x:v>
      </x:c>
      <x:c r="F25" s="28" t="str">
        <x:v>مخطط</x:v>
      </x:c>
      <x:c r="G25" s="28" t="str">
        <x:v>UX20</x:v>
      </x:c>
      <x:c r="H25" s="28" t="str">
        <x:v>قبل/أثناء الحدث وفق السماح</x:v>
      </x:c>
      <x:c r="I25" s="28" t="n">
        <x:v>2</x:v>
      </x:c>
    </x:row>
    <x:row r="26" ht="43" customHeight="1">
      <x:c r="A26" s="28" t="str">
        <x:v>PR18</x:v>
      </x:c>
      <x:c r="B26" s="28" t="str">
        <x:v>تجميل متحف المريخ</x:v>
      </x:c>
      <x:c r="C26" s="28" t="str">
        <x:v>فنان</x:v>
      </x:c>
      <x:c r="D26" s="28" t="str">
        <x:v>عرض إنجاز حقيقي</x:v>
      </x:c>
      <x:c r="E26" s="28" t="str">
        <x:v>P1</x:v>
      </x:c>
      <x:c r="F26" s="28" t="str">
        <x:v>مخطط</x:v>
      </x:c>
      <x:c r="G26" s="28" t="str">
        <x:v>Museum</x:v>
      </x:c>
      <x:c r="H26" s="28" t="str">
        <x:v>قبل/أثناء الحدث وفق السماح</x:v>
      </x:c>
      <x:c r="I26" s="28" t="n">
        <x:v>2</x:v>
      </x:c>
    </x:row>
    <x:row r="27" ht="43" customHeight="1">
      <x:c r="A27" s="28" t="str">
        <x:v>PR19</x:v>
      </x:c>
      <x:c r="B27" s="28" t="str">
        <x:v>إيقاف الصوت/التباين</x:v>
      </x:c>
      <x:c r="C27" s="28" t="str">
        <x:v>UX</x:v>
      </x:c>
      <x:c r="D27" s="28" t="str">
        <x:v>إتاحة</x:v>
      </x:c>
      <x:c r="E27" s="28" t="str">
        <x:v>P1</x:v>
      </x:c>
      <x:c r="F27" s="28" t="str">
        <x:v>مخطط</x:v>
      </x:c>
      <x:c r="G27" s="28" t="str">
        <x:v>UX10</x:v>
      </x:c>
      <x:c r="H27" s="28" t="str">
        <x:v>قبل/أثناء الحدث وفق السماح</x:v>
      </x:c>
      <x:c r="I27" s="28" t="n">
        <x:v>2</x:v>
      </x:c>
    </x:row>
    <x:row r="28" ht="43" customHeight="1">
      <x:c r="A28" s="28" t="str">
        <x:v>PR20</x:v>
      </x:c>
      <x:c r="B28" s="28" t="str">
        <x:v>تدقيق استعمال مواد NASA</x:v>
      </x:c>
      <x:c r="C28" s="28" t="str">
        <x:v>علمي</x:v>
      </x:c>
      <x:c r="D28" s="28" t="str">
        <x:v>لا شعارات محمية</x:v>
      </x:c>
      <x:c r="E28" s="28" t="str">
        <x:v>حرج</x:v>
      </x:c>
      <x:c r="F28" s="28" t="str">
        <x:v>مخطط</x:v>
      </x:c>
      <x:c r="G28" s="28" t="str">
        <x:v>S13</x:v>
      </x:c>
      <x:c r="H28" s="28" t="str">
        <x:v>14–15 نوفمبر</x:v>
      </x:c>
      <x:c r="I28" s="28" t="n">
        <x:v>1</x:v>
      </x:c>
    </x:row>
    <x:row r="29" ht="43" customHeight="1">
      <x:c r="A29" s="28" t="str">
        <x:v>PR21</x:v>
      </x:c>
      <x:c r="B29" s="28" t="str">
        <x:v>تجربة أطفال باستخدام موافقة مناسبة</x:v>
      </x:c>
      <x:c r="C29" s="28" t="str">
        <x:v>باحث مستخدم</x:v>
      </x:c>
      <x:c r="D29" s="28" t="str">
        <x:v>5–8 مشاركين إن أمكن</x:v>
      </x:c>
      <x:c r="E29" s="28" t="str">
        <x:v>P0</x:v>
      </x:c>
      <x:c r="F29" s="28" t="str">
        <x:v>مخطط</x:v>
      </x:c>
      <x:c r="G29" s="28" t="str">
        <x:v>Learning</x:v>
      </x:c>
      <x:c r="H29" s="28" t="str">
        <x:v>قبل/أثناء الحدث وفق السماح</x:v>
      </x:c>
      <x:c r="I29" s="28" t="n">
        <x:v>2</x:v>
      </x:c>
    </x:row>
    <x:row r="30" ht="43" customHeight="1">
      <x:c r="A30" s="28" t="str">
        <x:v>PR22</x:v>
      </x:c>
      <x:c r="B30" s="28" t="str">
        <x:v>تجميع أسئلة قياس التعلم</x:v>
      </x:c>
      <x:c r="C30" s="28" t="str">
        <x:v>علمي</x:v>
      </x:c>
      <x:c r="D30" s="28" t="str">
        <x:v>قبل/بعد</x:v>
      </x:c>
      <x:c r="E30" s="28" t="str">
        <x:v>P0</x:v>
      </x:c>
      <x:c r="F30" s="28" t="str">
        <x:v>مخطط</x:v>
      </x:c>
      <x:c r="G30" s="28" t="str">
        <x:v>LO</x:v>
      </x:c>
      <x:c r="H30" s="28" t="str">
        <x:v>قبل/أثناء الحدث وفق السماح</x:v>
      </x:c>
      <x:c r="I30" s="28" t="n">
        <x:v>2</x:v>
      </x:c>
    </x:row>
    <x:row r="31" ht="43" customHeight="1">
      <x:c r="A31" s="28" t="str">
        <x:v>PR23</x:v>
      </x:c>
      <x:c r="B31" s="28" t="str">
        <x:v>فحص متصفحات</x:v>
      </x:c>
      <x:c r="C31" s="28" t="str">
        <x:v>QA</x:v>
      </x:c>
      <x:c r="D31" s="28" t="str">
        <x:v>Chrome/Edge/Firefox</x:v>
      </x:c>
      <x:c r="E31" s="28" t="str">
        <x:v>P0</x:v>
      </x:c>
      <x:c r="F31" s="28" t="str">
        <x:v>مخطط</x:v>
      </x:c>
      <x:c r="G31" s="28" t="str">
        <x:v>QA</x:v>
      </x:c>
      <x:c r="H31" s="28" t="str">
        <x:v>قبل/أثناء الحدث وفق السماح</x:v>
      </x:c>
      <x:c r="I31" s="28" t="n">
        <x:v>2</x:v>
      </x:c>
    </x:row>
    <x:row r="32" ht="43" customHeight="1">
      <x:c r="A32" s="28" t="str">
        <x:v>PR24</x:v>
      </x:c>
      <x:c r="B32" s="28" t="str">
        <x:v>ديمو 5 دقائق فعلي</x:v>
      </x:c>
      <x:c r="C32" s="28" t="str">
        <x:v>سرد</x:v>
      </x:c>
      <x:c r="D32" s="28" t="str">
        <x:v>لا قطع وهمية</x:v>
      </x:c>
      <x:c r="E32" s="28" t="str">
        <x:v>P0</x:v>
      </x:c>
      <x:c r="F32" s="28" t="str">
        <x:v>مخطط</x:v>
      </x:c>
      <x:c r="G32" s="28" t="str">
        <x:v>Demo</x:v>
      </x:c>
      <x:c r="H32" s="28" t="str">
        <x:v>قبل/أثناء الحدث وفق السماح</x:v>
      </x:c>
      <x:c r="I32" s="28" t="n">
        <x:v>2</x:v>
      </x:c>
    </x:row>
    <x:row r="33" ht="43" customHeight="1">
      <x:c r="A33" s="28" t="str">
        <x:v>PR25</x:v>
      </x:c>
      <x:c r="B33" s="28" t="str">
        <x:v>سجل مراجع وحقوق الأصول</x:v>
      </x:c>
      <x:c r="C33" s="28" t="str">
        <x:v>فنان</x:v>
      </x:c>
      <x:c r="D33" s="28" t="str">
        <x:v>تراخيص واضحة</x:v>
      </x:c>
      <x:c r="E33" s="28" t="str">
        <x:v>P0</x:v>
      </x:c>
      <x:c r="F33" s="28" t="str">
        <x:v>مخطط</x:v>
      </x:c>
      <x:c r="G33" s="28" t="str">
        <x:v>S15</x:v>
      </x:c>
      <x:c r="H33" s="28" t="str">
        <x:v>قبل/أثناء الحدث وفق السماح</x:v>
      </x:c>
      <x:c r="I33" s="28" t="n">
        <x:v>2</x:v>
      </x:c>
    </x:row>
    <x:row r="34" ht="43" customHeight="1">
      <x:c r="A34" s="28" t="str">
        <x:v>PR26</x:v>
      </x:c>
      <x:c r="B34" s="28" t="str">
        <x:v>تسجيل الأدلة للفائزين والمنافسين</x:v>
      </x:c>
      <x:c r="C34" s="28" t="str">
        <x:v>منتج</x:v>
      </x:c>
      <x:c r="D34" s="28" t="str">
        <x:v>مقارنة متحفظة</x:v>
      </x:c>
      <x:c r="E34" s="28" t="str">
        <x:v>P1</x:v>
      </x:c>
      <x:c r="F34" s="28" t="str">
        <x:v>مخطط</x:v>
      </x:c>
      <x:c r="G34" s="28" t="str">
        <x:v>S18</x:v>
      </x:c>
      <x:c r="H34" s="28" t="str">
        <x:v>قبل/أثناء الحدث وفق السماح</x:v>
      </x:c>
      <x:c r="I34" s="28" t="n">
        <x:v>2</x:v>
      </x:c>
    </x:row>
    <x:row r="35" ht="43" customHeight="1">
      <x:c r="A35" s="28" t="str">
        <x:v>PR27</x:v>
      </x:c>
      <x:c r="B35" s="28" t="str">
        <x:v>تحديث صفحة المسابقة</x:v>
      </x:c>
      <x:c r="C35" s="28" t="str">
        <x:v>قائد الفريق</x:v>
      </x:c>
      <x:c r="D35" s="28" t="str">
        <x:v>تعبئة جميع الحقول</x:v>
      </x:c>
      <x:c r="E35" s="28" t="str">
        <x:v>حرج</x:v>
      </x:c>
      <x:c r="F35" s="28" t="str">
        <x:v>مخطط</x:v>
      </x:c>
      <x:c r="G35" s="28" t="str">
        <x:v>S01</x:v>
      </x:c>
      <x:c r="H35" s="28" t="str">
        <x:v>14–15 نوفمبر</x:v>
      </x:c>
      <x:c r="I35" s="28" t="n">
        <x:v>1</x:v>
      </x:c>
    </x:row>
    <x:row r="36" ht="43" customHeight="1">
      <x:c r="A36" s="28" t="str">
        <x:v>PR28</x:v>
      </x:c>
      <x:c r="B36" s="28" t="str">
        <x:v>رفع ملف العرض وفيديو</x:v>
      </x:c>
      <x:c r="C36" s="28" t="str">
        <x:v>قائد الفريق</x:v>
      </x:c>
      <x:c r="D36" s="28" t="str">
        <x:v>مؤكد حسب صفحة 2026</x:v>
      </x:c>
      <x:c r="E36" s="28" t="str">
        <x:v>حرج</x:v>
      </x:c>
      <x:c r="F36" s="28" t="str">
        <x:v>مخطط</x:v>
      </x:c>
      <x:c r="G36" s="28" t="str">
        <x:v>Submission</x:v>
      </x:c>
      <x:c r="H36" s="28" t="str">
        <x:v>14–15 نوفمبر</x:v>
      </x:c>
      <x:c r="I36" s="28" t="n">
        <x:v>1</x:v>
      </x:c>
    </x:row>
    <x:row r="37" ht="43" customHeight="1">
      <x:c r="A37" s="28" t="str">
        <x:v>PR29</x:v>
      </x:c>
      <x:c r="B37" s="28" t="str">
        <x:v>تجربة التحكيم التجريبية</x:v>
      </x:c>
      <x:c r="C37" s="28" t="str">
        <x:v>القائد</x:v>
      </x:c>
      <x:c r="D37" s="28" t="str">
        <x:v>5 أسئلة صعبة</x:v>
      </x:c>
      <x:c r="E37" s="28" t="str">
        <x:v>P0</x:v>
      </x:c>
      <x:c r="F37" s="28" t="str">
        <x:v>مخطط</x:v>
      </x:c>
      <x:c r="G37" s="28" t="str">
        <x:v>FAQ</x:v>
      </x:c>
      <x:c r="H37" s="28" t="str">
        <x:v>قبل/أثناء الحدث وفق السماح</x:v>
      </x:c>
      <x:c r="I37" s="28" t="n">
        <x:v>2</x:v>
      </x:c>
    </x:row>
    <x:row r="38" ht="43" customHeight="1">
      <x:c r="A38" s="28" t="str">
        <x:v>PR30</x:v>
      </x:c>
      <x:c r="B38" s="28" t="str">
        <x:v>إنهاء توثيق الإسهام 48 ساعة</x:v>
      </x:c>
      <x:c r="C38" s="28" t="str">
        <x:v>القائد</x:v>
      </x:c>
      <x:c r="D38" s="28" t="str">
        <x:v>commits وملفات وقت الهاكاثون</x:v>
      </x:c>
      <x:c r="E38" s="28" t="str">
        <x:v>حرج</x:v>
      </x:c>
      <x:c r="F38" s="28" t="str">
        <x:v>محظور حتى التحقق</x:v>
      </x:c>
      <x:c r="G38" s="28" t="str">
        <x:v>S03</x:v>
      </x:c>
      <x:c r="H38" s="28" t="str">
        <x:v>14–15 نوفمبر</x:v>
      </x:c>
      <x:c r="I38" s="28" t="n">
        <x:v>1</x:v>
      </x:c>
    </x:row>
    <x:row r="39" ht="43" customHeight="1">
      <x:c r="A39" s="28" t="str">
        <x:v>PZDEV01</x:v>
      </x:c>
      <x:c r="B39" s="28" t="str">
        <x:v>مراجعة / تنفيذ Echo Hunt</x:v>
      </x:c>
      <x:c r="C39" s="28" t="str">
        <x:v>Gameplay + QA</x:v>
      </x:c>
      <x:c r="D39" s="28" t="str">
        <x:v>تمرير لاعب دون تعثر + مصدر منطقي</x:v>
      </x:c>
      <x:c r="E39" s="28" t="str">
        <x:v>P0</x:v>
      </x:c>
      <x:c r="F39" s="28" t="str">
        <x:v>يحتاج تحقق</x:v>
      </x:c>
      <x:c r="G39" s="28" t="str">
        <x:v>PZ01</x:v>
      </x:c>
      <x:c r="H39" s="28" t="str">
        <x:v>الحدث</x:v>
      </x:c>
      <x:c r="I39" s="28" t="n">
        <x:v>2</x:v>
      </x:c>
    </x:row>
    <x:row r="40" ht="43" customHeight="1">
      <x:c r="A40" s="28" t="str">
        <x:v>PZDEV02</x:v>
      </x:c>
      <x:c r="B40" s="28" t="str">
        <x:v>مراجعة / تنفيذ Circuit Repair</x:v>
      </x:c>
      <x:c r="C40" s="28" t="str">
        <x:v>Gameplay + QA</x:v>
      </x:c>
      <x:c r="D40" s="28" t="str">
        <x:v>تمرير لاعب دون تعثر + مصدر منطقي</x:v>
      </x:c>
      <x:c r="E40" s="28" t="str">
        <x:v>P0</x:v>
      </x:c>
      <x:c r="F40" s="28" t="str">
        <x:v>يحتاج تحقق</x:v>
      </x:c>
      <x:c r="G40" s="28" t="str">
        <x:v>PZ02</x:v>
      </x:c>
      <x:c r="H40" s="28" t="str">
        <x:v>الحدث</x:v>
      </x:c>
      <x:c r="I40" s="28" t="n">
        <x:v>2</x:v>
      </x:c>
    </x:row>
    <x:row r="41" ht="43" customHeight="1">
      <x:c r="A41" s="28" t="str">
        <x:v>PZDEV03</x:v>
      </x:c>
      <x:c r="B41" s="28" t="str">
        <x:v>مراجعة / تنفيذ Scientific Linking</x:v>
      </x:c>
      <x:c r="C41" s="28" t="str">
        <x:v>Gameplay + QA</x:v>
      </x:c>
      <x:c r="D41" s="28" t="str">
        <x:v>تمرير لاعب دون تعثر + مصدر منطقي</x:v>
      </x:c>
      <x:c r="E41" s="28" t="str">
        <x:v>P0</x:v>
      </x:c>
      <x:c r="F41" s="28" t="str">
        <x:v>يحتاج تحقق</x:v>
      </x:c>
      <x:c r="G41" s="28" t="str">
        <x:v>PZ03</x:v>
      </x:c>
      <x:c r="H41" s="28" t="str">
        <x:v>الحدث</x:v>
      </x:c>
      <x:c r="I41" s="28" t="n">
        <x:v>2</x:v>
      </x:c>
    </x:row>
    <x:row r="42" ht="43" customHeight="1">
      <x:c r="A42" s="28" t="str">
        <x:v>PZDEV04</x:v>
      </x:c>
      <x:c r="B42" s="28" t="str">
        <x:v>مراجعة / تنفيذ Route Choice</x:v>
      </x:c>
      <x:c r="C42" s="28" t="str">
        <x:v>Gameplay + QA</x:v>
      </x:c>
      <x:c r="D42" s="28" t="str">
        <x:v>تمرير لاعب دون تعثر + مصدر منطقي</x:v>
      </x:c>
      <x:c r="E42" s="28" t="str">
        <x:v>P0</x:v>
      </x:c>
      <x:c r="F42" s="28" t="str">
        <x:v>يحتاج تحقق</x:v>
      </x:c>
      <x:c r="G42" s="28" t="str">
        <x:v>PZ04</x:v>
      </x:c>
      <x:c r="H42" s="28" t="str">
        <x:v>الحدث</x:v>
      </x:c>
      <x:c r="I42" s="28" t="n">
        <x:v>2</x:v>
      </x:c>
    </x:row>
    <x:row r="43" ht="43" customHeight="1">
      <x:c r="A43" s="28" t="str">
        <x:v>PZDEV05</x:v>
      </x:c>
      <x:c r="B43" s="28" t="str">
        <x:v>مراجعة / تنفيذ Rover Control</x:v>
      </x:c>
      <x:c r="C43" s="28" t="str">
        <x:v>Gameplay + QA</x:v>
      </x:c>
      <x:c r="D43" s="28" t="str">
        <x:v>تمرير لاعب دون تعثر + مصدر منطقي</x:v>
      </x:c>
      <x:c r="E43" s="28" t="str">
        <x:v>P0</x:v>
      </x:c>
      <x:c r="F43" s="28" t="str">
        <x:v>يحتاج تحقق</x:v>
      </x:c>
      <x:c r="G43" s="28" t="str">
        <x:v>PZ05</x:v>
      </x:c>
      <x:c r="H43" s="28" t="str">
        <x:v>الحدث</x:v>
      </x:c>
      <x:c r="I43" s="28" t="n">
        <x:v>2</x:v>
      </x:c>
    </x:row>
    <x:row r="44" ht="43" customHeight="1">
      <x:c r="A44" s="28" t="str">
        <x:v>PZDEV06</x:v>
      </x:c>
      <x:c r="B44" s="28" t="str">
        <x:v>مراجعة / تنفيذ Research Cache</x:v>
      </x:c>
      <x:c r="C44" s="28" t="str">
        <x:v>Gameplay + QA</x:v>
      </x:c>
      <x:c r="D44" s="28" t="str">
        <x:v>تمرير لاعب دون تعثر + مصدر منطقي</x:v>
      </x:c>
      <x:c r="E44" s="28" t="str">
        <x:v>P0</x:v>
      </x:c>
      <x:c r="F44" s="28" t="str">
        <x:v>يحتاج تحقق</x:v>
      </x:c>
      <x:c r="G44" s="28" t="str">
        <x:v>PZ06</x:v>
      </x:c>
      <x:c r="H44" s="28" t="str">
        <x:v>الحدث</x:v>
      </x:c>
      <x:c r="I44" s="28" t="n">
        <x:v>2</x:v>
      </x:c>
    </x:row>
    <x:row r="45" ht="43" customHeight="1">
      <x:c r="A45" s="28" t="str">
        <x:v>PZDEV07</x:v>
      </x:c>
      <x:c r="B45" s="28" t="str">
        <x:v>مراجعة / تنفيذ Specimen Sort</x:v>
      </x:c>
      <x:c r="C45" s="28" t="str">
        <x:v>Gameplay + QA</x:v>
      </x:c>
      <x:c r="D45" s="28" t="str">
        <x:v>تمرير لاعب دون تعثر + مصدر منطقي</x:v>
      </x:c>
      <x:c r="E45" s="28" t="str">
        <x:v>P0</x:v>
      </x:c>
      <x:c r="F45" s="28" t="str">
        <x:v>يحتاج تحقق</x:v>
      </x:c>
      <x:c r="G45" s="28" t="str">
        <x:v>PZ07</x:v>
      </x:c>
      <x:c r="H45" s="28" t="str">
        <x:v>الحدث</x:v>
      </x:c>
      <x:c r="I45" s="28" t="n">
        <x:v>2</x:v>
      </x:c>
    </x:row>
    <x:row r="46" ht="43" customHeight="1">
      <x:c r="A46" s="28" t="str">
        <x:v>PZDEV08</x:v>
      </x:c>
      <x:c r="B46" s="28" t="str">
        <x:v>مراجعة / تنفيذ Mobility Lab</x:v>
      </x:c>
      <x:c r="C46" s="28" t="str">
        <x:v>Gameplay + QA</x:v>
      </x:c>
      <x:c r="D46" s="28" t="str">
        <x:v>تمرير لاعب دون تعثر + مصدر منطقي</x:v>
      </x:c>
      <x:c r="E46" s="28" t="str">
        <x:v>P0</x:v>
      </x:c>
      <x:c r="F46" s="28" t="str">
        <x:v>يحتاج تحقق</x:v>
      </x:c>
      <x:c r="G46" s="28" t="str">
        <x:v>PZ08</x:v>
      </x:c>
      <x:c r="H46" s="28" t="str">
        <x:v>الحدث</x:v>
      </x:c>
      <x:c r="I46" s="28" t="n">
        <x:v>2</x:v>
      </x:c>
    </x:row>
    <x:row r="47" ht="43" customHeight="1">
      <x:c r="A47" s="28" t="str">
        <x:v>PZDEV09</x:v>
      </x:c>
      <x:c r="B47" s="28" t="str">
        <x:v>مراجعة / تنفيذ Evidence Conclusion</x:v>
      </x:c>
      <x:c r="C47" s="28" t="str">
        <x:v>Gameplay + QA</x:v>
      </x:c>
      <x:c r="D47" s="28" t="str">
        <x:v>تمرير لاعب دون تعثر + مصدر منطقي</x:v>
      </x:c>
      <x:c r="E47" s="28" t="str">
        <x:v>P0</x:v>
      </x:c>
      <x:c r="F47" s="28" t="str">
        <x:v>يحتاج تحقق</x:v>
      </x:c>
      <x:c r="G47" s="28" t="str">
        <x:v>PZ09</x:v>
      </x:c>
      <x:c r="H47" s="28" t="str">
        <x:v>الحدث</x:v>
      </x:c>
      <x:c r="I47" s="28" t="n">
        <x:v>2</x:v>
      </x:c>
    </x:row>
    <x:row r="48" ht="43" customHeight="1">
      <x:c r="A48" s="28" t="str">
        <x:v>PZDEV10</x:v>
      </x:c>
      <x:c r="B48" s="28" t="str">
        <x:v>مراجعة / تنفيذ Solar Budget Sol 1</x:v>
      </x:c>
      <x:c r="C48" s="28" t="str">
        <x:v>Gameplay + QA</x:v>
      </x:c>
      <x:c r="D48" s="28" t="str">
        <x:v>تمرير لاعب دون تعثر + مصدر منطقي</x:v>
      </x:c>
      <x:c r="E48" s="28" t="str">
        <x:v>P0</x:v>
      </x:c>
      <x:c r="F48" s="28" t="str">
        <x:v>يحتاج تحقق</x:v>
      </x:c>
      <x:c r="G48" s="28" t="str">
        <x:v>PZ10</x:v>
      </x:c>
      <x:c r="H48" s="28" t="str">
        <x:v>الحدث</x:v>
      </x:c>
      <x:c r="I48" s="28" t="n">
        <x:v>2</x:v>
      </x:c>
    </x:row>
    <x:row r="49" ht="43" customHeight="1">
      <x:c r="A49" s="28" t="str">
        <x:v>PZDEV11</x:v>
      </x:c>
      <x:c r="B49" s="28" t="str">
        <x:v>مراجعة / تنفيذ Solar Budget Sol 2</x:v>
      </x:c>
      <x:c r="C49" s="28" t="str">
        <x:v>Gameplay + QA</x:v>
      </x:c>
      <x:c r="D49" s="28" t="str">
        <x:v>تمرير لاعب دون تعثر + مصدر منطقي</x:v>
      </x:c>
      <x:c r="E49" s="28" t="str">
        <x:v>P0</x:v>
      </x:c>
      <x:c r="F49" s="28" t="str">
        <x:v>يحتاج تحقق</x:v>
      </x:c>
      <x:c r="G49" s="28" t="str">
        <x:v>PZ11</x:v>
      </x:c>
      <x:c r="H49" s="28" t="str">
        <x:v>الحدث</x:v>
      </x:c>
      <x:c r="I49" s="28" t="n">
        <x:v>2</x:v>
      </x:c>
    </x:row>
    <x:row r="50" ht="43" customHeight="1">
      <x:c r="A50" s="28" t="str">
        <x:v>PZDEV12</x:v>
      </x:c>
      <x:c r="B50" s="28" t="str">
        <x:v>مراجعة / تنفيذ Dust Impact Sol 3</x:v>
      </x:c>
      <x:c r="C50" s="28" t="str">
        <x:v>Gameplay + QA</x:v>
      </x:c>
      <x:c r="D50" s="28" t="str">
        <x:v>تمرير لاعب دون تعثر + مصدر منطقي</x:v>
      </x:c>
      <x:c r="E50" s="28" t="str">
        <x:v>P0</x:v>
      </x:c>
      <x:c r="F50" s="28" t="str">
        <x:v>يحتاج تحقق</x:v>
      </x:c>
      <x:c r="G50" s="28" t="str">
        <x:v>PZ12</x:v>
      </x:c>
      <x:c r="H50" s="28" t="str">
        <x:v>الحدث</x:v>
      </x:c>
      <x:c r="I50" s="28" t="n">
        <x:v>2</x:v>
      </x:c>
    </x:row>
    <x:row r="51" ht="43" customHeight="1">
      <x:c r="A51" s="28" t="str">
        <x:v>PZDEV13</x:v>
      </x:c>
      <x:c r="B51" s="28" t="str">
        <x:v>مراجعة / تنفيذ Communication Sol 4</x:v>
      </x:c>
      <x:c r="C51" s="28" t="str">
        <x:v>Gameplay + QA</x:v>
      </x:c>
      <x:c r="D51" s="28" t="str">
        <x:v>تمرير لاعب دون تعثر + مصدر منطقي</x:v>
      </x:c>
      <x:c r="E51" s="28" t="str">
        <x:v>P0</x:v>
      </x:c>
      <x:c r="F51" s="28" t="str">
        <x:v>يحتاج تحقق</x:v>
      </x:c>
      <x:c r="G51" s="28" t="str">
        <x:v>PZ13</x:v>
      </x:c>
      <x:c r="H51" s="28" t="str">
        <x:v>الحدث</x:v>
      </x:c>
      <x:c r="I51" s="28" t="n">
        <x:v>2</x:v>
      </x:c>
    </x:row>
    <x:row r="52" ht="43" customHeight="1">
      <x:c r="A52" s="28" t="str">
        <x:v>PZDEV14</x:v>
      </x:c>
      <x:c r="B52" s="28" t="str">
        <x:v>مراجعة / تنفيذ Signal Cipher</x:v>
      </x:c>
      <x:c r="C52" s="28" t="str">
        <x:v>Gameplay + QA</x:v>
      </x:c>
      <x:c r="D52" s="28" t="str">
        <x:v>تمرير لاعب دون تعثر + مصدر منطقي</x:v>
      </x:c>
      <x:c r="E52" s="28" t="str">
        <x:v>P0</x:v>
      </x:c>
      <x:c r="F52" s="28" t="str">
        <x:v>يحتاج تحقق</x:v>
      </x:c>
      <x:c r="G52" s="28" t="str">
        <x:v>PZ14</x:v>
      </x:c>
      <x:c r="H52" s="28" t="str">
        <x:v>الحدث</x:v>
      </x:c>
      <x:c r="I52" s="28" t="n">
        <x:v>2</x:v>
      </x:c>
    </x:row>
    <x:row r="53" ht="43" customHeight="1">
      <x:c r="A53" s="28" t="str">
        <x:v>PZDEV15</x:v>
      </x:c>
      <x:c r="B53" s="28" t="str">
        <x:v>مراجعة / تنفيذ Archive Graph</x:v>
      </x:c>
      <x:c r="C53" s="28" t="str">
        <x:v>Gameplay + QA</x:v>
      </x:c>
      <x:c r="D53" s="28" t="str">
        <x:v>تمرير لاعب دون تعثر + مصدر منطقي</x:v>
      </x:c>
      <x:c r="E53" s="28" t="str">
        <x:v>P1</x:v>
      </x:c>
      <x:c r="F53" s="28" t="str">
        <x:v>مخطط</x:v>
      </x:c>
      <x:c r="G53" s="28" t="str">
        <x:v>PZ15</x:v>
      </x:c>
      <x:c r="H53" s="28" t="str">
        <x:v>ما بعد الحدث</x:v>
      </x:c>
      <x:c r="I53" s="28" t="n">
        <x:v>3</x:v>
      </x:c>
    </x:row>
    <x:row r="54" ht="43" customHeight="1">
      <x:c r="A54" s="28" t="str">
        <x:v>PZDEV16</x:v>
      </x:c>
      <x:c r="B54" s="28" t="str">
        <x:v>مراجعة / تنفيذ Three Clue Mystery</x:v>
      </x:c>
      <x:c r="C54" s="28" t="str">
        <x:v>Designer</x:v>
      </x:c>
      <x:c r="D54" s="28" t="str">
        <x:v>تمرير لاعب دون تعثر + مصدر منطقي</x:v>
      </x:c>
      <x:c r="E54" s="28" t="str">
        <x:v>P1</x:v>
      </x:c>
      <x:c r="F54" s="28" t="str">
        <x:v>مخطط</x:v>
      </x:c>
      <x:c r="G54" s="28" t="str">
        <x:v>PZ16</x:v>
      </x:c>
      <x:c r="H54" s="28" t="str">
        <x:v>ما بعد الحدث</x:v>
      </x:c>
      <x:c r="I54" s="28" t="n">
        <x:v>3</x:v>
      </x:c>
    </x:row>
    <x:row r="55" ht="43" customHeight="1">
      <x:c r="A55" s="28" t="str">
        <x:v>PZDEV17</x:v>
      </x:c>
      <x:c r="B55" s="28" t="str">
        <x:v>مراجعة / تنفيذ Wheel Engineering</x:v>
      </x:c>
      <x:c r="C55" s="28" t="str">
        <x:v>Designer</x:v>
      </x:c>
      <x:c r="D55" s="28" t="str">
        <x:v>تمرير لاعب دون تعثر + مصدر منطقي</x:v>
      </x:c>
      <x:c r="E55" s="28" t="str">
        <x:v>P2</x:v>
      </x:c>
      <x:c r="F55" s="28" t="str">
        <x:v>مخطط</x:v>
      </x:c>
      <x:c r="G55" s="28" t="str">
        <x:v>PZ17</x:v>
      </x:c>
      <x:c r="H55" s="28" t="str">
        <x:v>ما بعد الحدث</x:v>
      </x:c>
      <x:c r="I55" s="28" t="n">
        <x:v>3</x:v>
      </x:c>
    </x:row>
    <x:row r="56" ht="43" customHeight="1">
      <x:c r="A56" s="28" t="str">
        <x:v>PZDEV18</x:v>
      </x:c>
      <x:c r="B56" s="28" t="str">
        <x:v>مراجعة / تنفيذ Landing Region</x:v>
      </x:c>
      <x:c r="C56" s="28" t="str">
        <x:v>Designer</x:v>
      </x:c>
      <x:c r="D56" s="28" t="str">
        <x:v>تمرير لاعب دون تعثر + مصدر منطقي</x:v>
      </x:c>
      <x:c r="E56" s="28" t="str">
        <x:v>P2</x:v>
      </x:c>
      <x:c r="F56" s="28" t="str">
        <x:v>مخطط</x:v>
      </x:c>
      <x:c r="G56" s="28" t="str">
        <x:v>PZ18</x:v>
      </x:c>
      <x:c r="H56" s="28" t="str">
        <x:v>ما بعد الحدث</x:v>
      </x:c>
      <x:c r="I56" s="28" t="n">
        <x:v>3</x:v>
      </x:c>
    </x:row>
    <x:row r="57" ht="43" customHeight="1">
      <x:c r="A57" s="28" t="str">
        <x:v>PZDEV19</x:v>
      </x:c>
      <x:c r="B57" s="28" t="str">
        <x:v>مراجعة / تنفيذ Sample Story</x:v>
      </x:c>
      <x:c r="C57" s="28" t="str">
        <x:v>Designer</x:v>
      </x:c>
      <x:c r="D57" s="28" t="str">
        <x:v>تمرير لاعب دون تعثر + مصدر منطقي</x:v>
      </x:c>
      <x:c r="E57" s="28" t="str">
        <x:v>P2</x:v>
      </x:c>
      <x:c r="F57" s="28" t="str">
        <x:v>مخطط</x:v>
      </x:c>
      <x:c r="G57" s="28" t="str">
        <x:v>PZ19</x:v>
      </x:c>
      <x:c r="H57" s="28" t="str">
        <x:v>ما بعد الحدث</x:v>
      </x:c>
      <x:c r="I57" s="28" t="n">
        <x:v>3</x:v>
      </x:c>
    </x:row>
    <x:row r="58" ht="43" customHeight="1">
      <x:c r="A58" s="28" t="str">
        <x:v>PZDEV20</x:v>
      </x:c>
      <x:c r="B58" s="28" t="str">
        <x:v>مراجعة / تنفيذ EVA Clock</x:v>
      </x:c>
      <x:c r="C58" s="28" t="str">
        <x:v>Designer</x:v>
      </x:c>
      <x:c r="D58" s="28" t="str">
        <x:v>تمرير لاعب دون تعثر + مصدر منطقي</x:v>
      </x:c>
      <x:c r="E58" s="28" t="str">
        <x:v>P2</x:v>
      </x:c>
      <x:c r="F58" s="28" t="str">
        <x:v>مخطط</x:v>
      </x:c>
      <x:c r="G58" s="28" t="str">
        <x:v>PZ20</x:v>
      </x:c>
      <x:c r="H58" s="28" t="str">
        <x:v>ما بعد الحدث</x:v>
      </x:c>
      <x:c r="I58" s="28" t="n">
        <x:v>3</x:v>
      </x:c>
    </x:row>
    <x:row r="59" ht="43" customHeight="1">
      <x:c r="A59" s="28" t="str">
        <x:v>PZDEV21</x:v>
      </x:c>
      <x:c r="B59" s="28" t="str">
        <x:v>مراجعة / تنفيذ Discover Hidden Site</x:v>
      </x:c>
      <x:c r="C59" s="28" t="str">
        <x:v>Designer</x:v>
      </x:c>
      <x:c r="D59" s="28" t="str">
        <x:v>تمرير لاعب دون تعثر + مصدر منطقي</x:v>
      </x:c>
      <x:c r="E59" s="28" t="str">
        <x:v>P1</x:v>
      </x:c>
      <x:c r="F59" s="28" t="str">
        <x:v>مخطط</x:v>
      </x:c>
      <x:c r="G59" s="28" t="str">
        <x:v>PZ21</x:v>
      </x:c>
      <x:c r="H59" s="28" t="str">
        <x:v>ما بعد الحدث</x:v>
      </x:c>
      <x:c r="I59" s="28" t="n">
        <x:v>3</x:v>
      </x:c>
    </x:row>
    <x:row r="60" ht="43" customHeight="1">
      <x:c r="A60" s="28" t="str">
        <x:v>PZDEV22</x:v>
      </x:c>
      <x:c r="B60" s="28" t="str">
        <x:v>مراجعة / تنفيذ Dust Transmission</x:v>
      </x:c>
      <x:c r="C60" s="28" t="str">
        <x:v>Designer</x:v>
      </x:c>
      <x:c r="D60" s="28" t="str">
        <x:v>تمرير لاعب دون تعثر + مصدر منطقي</x:v>
      </x:c>
      <x:c r="E60" s="28" t="str">
        <x:v>P1</x:v>
      </x:c>
      <x:c r="F60" s="28" t="str">
        <x:v>مخطط</x:v>
      </x:c>
      <x:c r="G60" s="28" t="str">
        <x:v>PZ22</x:v>
      </x:c>
      <x:c r="H60" s="28" t="str">
        <x:v>ما بعد الحدث</x:v>
      </x:c>
      <x:c r="I60" s="28" t="n">
        <x:v>3</x:v>
      </x:c>
    </x:row>
    <x:row r="61" ht="43" customHeight="1">
      <x:c r="A61" s="28" t="str">
        <x:v>PZDEV23</x:v>
      </x:c>
      <x:c r="B61" s="28" t="str">
        <x:v>مراجعة / تنفيذ Solar Tilt</x:v>
      </x:c>
      <x:c r="C61" s="28" t="str">
        <x:v>Designer</x:v>
      </x:c>
      <x:c r="D61" s="28" t="str">
        <x:v>تمرير لاعب دون تعثر + مصدر منطقي</x:v>
      </x:c>
      <x:c r="E61" s="28" t="str">
        <x:v>P2</x:v>
      </x:c>
      <x:c r="F61" s="28" t="str">
        <x:v>مخطط</x:v>
      </x:c>
      <x:c r="G61" s="28" t="str">
        <x:v>PZ23</x:v>
      </x:c>
      <x:c r="H61" s="28" t="str">
        <x:v>ما بعد الحدث</x:v>
      </x:c>
      <x:c r="I61" s="28" t="n">
        <x:v>3</x:v>
      </x:c>
    </x:row>
    <x:row r="62" ht="43" customHeight="1">
      <x:c r="A62" s="28" t="str">
        <x:v>PZDEV24</x:v>
      </x:c>
      <x:c r="B62" s="28" t="str">
        <x:v>مراجعة / تنفيذ Resource Consequence</x:v>
      </x:c>
      <x:c r="C62" s="28" t="str">
        <x:v>Designer</x:v>
      </x:c>
      <x:c r="D62" s="28" t="str">
        <x:v>تمرير لاعب دون تعثر + مصدر منطقي</x:v>
      </x:c>
      <x:c r="E62" s="28" t="str">
        <x:v>P1</x:v>
      </x:c>
      <x:c r="F62" s="28" t="str">
        <x:v>مخطط</x:v>
      </x:c>
      <x:c r="G62" s="28" t="str">
        <x:v>PZ24</x:v>
      </x:c>
      <x:c r="H62" s="28" t="str">
        <x:v>ما بعد الحدث</x:v>
      </x:c>
      <x:c r="I62" s="28" t="n">
        <x:v>3</x:v>
      </x:c>
    </x:row>
    <x:row r="63" ht="43" customHeight="1">
      <x:c r="A63" s="28" t="str">
        <x:v>PZDEV25</x:v>
      </x:c>
      <x:c r="B63" s="28" t="str">
        <x:v>مراجعة / تنفيذ Seismic Signal</x:v>
      </x:c>
      <x:c r="C63" s="28" t="str">
        <x:v>Designer</x:v>
      </x:c>
      <x:c r="D63" s="28" t="str">
        <x:v>تمرير لاعب دون تعثر + مصدر منطقي</x:v>
      </x:c>
      <x:c r="E63" s="28" t="str">
        <x:v>P2</x:v>
      </x:c>
      <x:c r="F63" s="28" t="str">
        <x:v>مخطط</x:v>
      </x:c>
      <x:c r="G63" s="28" t="str">
        <x:v>PZ25</x:v>
      </x:c>
      <x:c r="H63" s="28" t="str">
        <x:v>ما بعد الحدث</x:v>
      </x:c>
      <x:c r="I63" s="28" t="n">
        <x:v>3</x:v>
      </x:c>
    </x:row>
    <x:row r="64" ht="43" customHeight="1">
      <x:c r="A64" s="28" t="str">
        <x:v>PZDEV26</x:v>
      </x:c>
      <x:c r="B64" s="28" t="str">
        <x:v>مراجعة / تنفيذ Time Arrival</x:v>
      </x:c>
      <x:c r="C64" s="28" t="str">
        <x:v>Designer</x:v>
      </x:c>
      <x:c r="D64" s="28" t="str">
        <x:v>تمرير لاعب دون تعثر + مصدر منطقي</x:v>
      </x:c>
      <x:c r="E64" s="28" t="str">
        <x:v>P2</x:v>
      </x:c>
      <x:c r="F64" s="28" t="str">
        <x:v>مخطط</x:v>
      </x:c>
      <x:c r="G64" s="28" t="str">
        <x:v>PZ26</x:v>
      </x:c>
      <x:c r="H64" s="28" t="str">
        <x:v>ما بعد الحدث</x:v>
      </x:c>
      <x:c r="I64" s="28" t="n">
        <x:v>3</x:v>
      </x:c>
    </x:row>
    <x:row r="65" ht="43" customHeight="1">
      <x:c r="A65" s="28" t="str">
        <x:v>PZDEV27</x:v>
      </x:c>
      <x:c r="B65" s="28" t="str">
        <x:v>مراجعة / تنفيذ Traction Escape</x:v>
      </x:c>
      <x:c r="C65" s="28" t="str">
        <x:v>Designer</x:v>
      </x:c>
      <x:c r="D65" s="28" t="str">
        <x:v>تمرير لاعب دون تعثر + مصدر منطقي</x:v>
      </x:c>
      <x:c r="E65" s="28" t="str">
        <x:v>P2</x:v>
      </x:c>
      <x:c r="F65" s="28" t="str">
        <x:v>مخطط</x:v>
      </x:c>
      <x:c r="G65" s="28" t="str">
        <x:v>PZ27</x:v>
      </x:c>
      <x:c r="H65" s="28" t="str">
        <x:v>ما بعد الحدث</x:v>
      </x:c>
      <x:c r="I65" s="28" t="n">
        <x:v>3</x:v>
      </x:c>
    </x:row>
    <x:row r="66" ht="43" customHeight="1">
      <x:c r="A66" s="28" t="str">
        <x:v>PZDEV28</x:v>
      </x:c>
      <x:c r="B66" s="28" t="str">
        <x:v>مراجعة / تنفيذ Ice Clue</x:v>
      </x:c>
      <x:c r="C66" s="28" t="str">
        <x:v>Designer</x:v>
      </x:c>
      <x:c r="D66" s="28" t="str">
        <x:v>تمرير لاعب دون تعثر + مصدر منطقي</x:v>
      </x:c>
      <x:c r="E66" s="28" t="str">
        <x:v>P2</x:v>
      </x:c>
      <x:c r="F66" s="28" t="str">
        <x:v>مخطط</x:v>
      </x:c>
      <x:c r="G66" s="28" t="str">
        <x:v>PZ28</x:v>
      </x:c>
      <x:c r="H66" s="28" t="str">
        <x:v>ما بعد الحدث</x:v>
      </x:c>
      <x:c r="I66" s="28" t="n">
        <x:v>3</x:v>
      </x:c>
    </x:row>
    <x:row r="67" ht="43" customHeight="1">
      <x:c r="A67" s="28" t="str">
        <x:v>PZDEV29</x:v>
      </x:c>
      <x:c r="B67" s="28" t="str">
        <x:v>مراجعة / تنفيذ Geology Relay</x:v>
      </x:c>
      <x:c r="C67" s="28" t="str">
        <x:v>Designer</x:v>
      </x:c>
      <x:c r="D67" s="28" t="str">
        <x:v>تمرير لاعب دون تعثر + مصدر منطقي</x:v>
      </x:c>
      <x:c r="E67" s="28" t="str">
        <x:v>P2</x:v>
      </x:c>
      <x:c r="F67" s="28" t="str">
        <x:v>مخطط</x:v>
      </x:c>
      <x:c r="G67" s="28" t="str">
        <x:v>PZ29</x:v>
      </x:c>
      <x:c r="H67" s="28" t="str">
        <x:v>ما بعد الحدث</x:v>
      </x:c>
      <x:c r="I67" s="28" t="n">
        <x:v>3</x:v>
      </x:c>
    </x:row>
    <x:row r="68" ht="43" customHeight="1">
      <x:c r="A68" s="28" t="str">
        <x:v>PZDEV30</x:v>
      </x:c>
      <x:c r="B68" s="28" t="str">
        <x:v>مراجعة / تنفيذ Science Crosslink</x:v>
      </x:c>
      <x:c r="C68" s="28" t="str">
        <x:v>Designer</x:v>
      </x:c>
      <x:c r="D68" s="28" t="str">
        <x:v>تمرير لاعب دون تعثر + مصدر منطقي</x:v>
      </x:c>
      <x:c r="E68" s="28" t="str">
        <x:v>P1</x:v>
      </x:c>
      <x:c r="F68" s="28" t="str">
        <x:v>مخطط</x:v>
      </x:c>
      <x:c r="G68" s="28" t="str">
        <x:v>PZ30</x:v>
      </x:c>
      <x:c r="H68" s="28" t="str">
        <x:v>ما بعد الحدث</x:v>
      </x:c>
      <x:c r="I68" s="28" t="n">
        <x:v>3</x:v>
      </x:c>
    </x:row>
    <x:row r="69" ht="43" customHeight="1">
      <x:c r="A69" s="28" t="str">
        <x:v>PZDEV31</x:v>
      </x:c>
      <x:c r="B69" s="28" t="str">
        <x:v>مراجعة / تنفيذ Hint Escalation</x:v>
      </x:c>
      <x:c r="C69" s="28" t="str">
        <x:v>Designer</x:v>
      </x:c>
      <x:c r="D69" s="28" t="str">
        <x:v>تمرير لاعب دون تعثر + مصدر منطقي</x:v>
      </x:c>
      <x:c r="E69" s="28" t="str">
        <x:v>P1</x:v>
      </x:c>
      <x:c r="F69" s="28" t="str">
        <x:v>مخطط</x:v>
      </x:c>
      <x:c r="G69" s="28" t="str">
        <x:v>PZ31</x:v>
      </x:c>
      <x:c r="H69" s="28" t="str">
        <x:v>ما بعد الحدث</x:v>
      </x:c>
      <x:c r="I69" s="28" t="n">
        <x:v>3</x:v>
      </x:c>
    </x:row>
    <x:row r="70" ht="43" customHeight="1">
      <x:c r="A70" s="28" t="str">
        <x:v>PZDEV32</x:v>
      </x:c>
      <x:c r="B70" s="28" t="str">
        <x:v>مراجعة / تنفيذ No Text Test</x:v>
      </x:c>
      <x:c r="C70" s="28" t="str">
        <x:v>Designer</x:v>
      </x:c>
      <x:c r="D70" s="28" t="str">
        <x:v>تمرير لاعب دون تعثر + مصدر منطقي</x:v>
      </x:c>
      <x:c r="E70" s="28" t="str">
        <x:v>P1</x:v>
      </x:c>
      <x:c r="F70" s="28" t="str">
        <x:v>مخطط</x:v>
      </x:c>
      <x:c r="G70" s="28" t="str">
        <x:v>PZ32</x:v>
      </x:c>
      <x:c r="H70" s="28" t="str">
        <x:v>ما بعد الحدث</x:v>
      </x:c>
      <x:c r="I70" s="28" t="n">
        <x:v>3</x:v>
      </x:c>
    </x:row>
    <x:row r="71" ht="43" customHeight="1">
      <x:c r="A71" s="28" t="str">
        <x:v>PZDEV33</x:v>
      </x:c>
      <x:c r="B71" s="28" t="str">
        <x:v>مراجعة / تنفيذ Evidence Credibility</x:v>
      </x:c>
      <x:c r="C71" s="28" t="str">
        <x:v>Designer</x:v>
      </x:c>
      <x:c r="D71" s="28" t="str">
        <x:v>تمرير لاعب دون تعثر + مصدر منطقي</x:v>
      </x:c>
      <x:c r="E71" s="28" t="str">
        <x:v>P1</x:v>
      </x:c>
      <x:c r="F71" s="28" t="str">
        <x:v>مخطط</x:v>
      </x:c>
      <x:c r="G71" s="28" t="str">
        <x:v>PZ33</x:v>
      </x:c>
      <x:c r="H71" s="28" t="str">
        <x:v>ما بعد الحدث</x:v>
      </x:c>
      <x:c r="I71" s="28" t="n">
        <x:v>3</x:v>
      </x:c>
    </x:row>
    <x:row r="72" ht="43" customHeight="1">
      <x:c r="A72" s="28" t="str">
        <x:v>PZDEV34</x:v>
      </x:c>
      <x:c r="B72" s="28" t="str">
        <x:v>مراجعة / تنفيذ Audio Pattern</x:v>
      </x:c>
      <x:c r="C72" s="28" t="str">
        <x:v>Designer</x:v>
      </x:c>
      <x:c r="D72" s="28" t="str">
        <x:v>تمرير لاعب دون تعثر + مصدر منطقي</x:v>
      </x:c>
      <x:c r="E72" s="28" t="str">
        <x:v>P2</x:v>
      </x:c>
      <x:c r="F72" s="28" t="str">
        <x:v>مخطط</x:v>
      </x:c>
      <x:c r="G72" s="28" t="str">
        <x:v>PZ34</x:v>
      </x:c>
      <x:c r="H72" s="28" t="str">
        <x:v>ما بعد الحدث</x:v>
      </x:c>
      <x:c r="I72" s="28" t="n">
        <x:v>3</x:v>
      </x:c>
    </x:row>
    <x:row r="73" ht="43" customHeight="1">
      <x:c r="A73" s="28" t="str">
        <x:v>PZDEV35</x:v>
      </x:c>
      <x:c r="B73" s="28" t="str">
        <x:v>مراجعة / تنفيذ Museum Curator</x:v>
      </x:c>
      <x:c r="C73" s="28" t="str">
        <x:v>Designer</x:v>
      </x:c>
      <x:c r="D73" s="28" t="str">
        <x:v>تمرير لاعب دون تعثر + مصدر منطقي</x:v>
      </x:c>
      <x:c r="E73" s="28" t="str">
        <x:v>P1</x:v>
      </x:c>
      <x:c r="F73" s="28" t="str">
        <x:v>مخطط</x:v>
      </x:c>
      <x:c r="G73" s="28" t="str">
        <x:v>PZ35</x:v>
      </x:c>
      <x:c r="H73" s="28" t="str">
        <x:v>ما بعد الحدث</x:v>
      </x:c>
      <x:c r="I73" s="28" t="n">
        <x:v>3</x:v>
      </x:c>
    </x:row>
    <x:row r="74" ht="43" customHeight="1">
      <x:c r="A74" s="28" t="str">
        <x:v>UXD01</x:v>
      </x:c>
      <x:c r="B74" s="28" t="str">
        <x:v>اختبار UX — Start within 30s</x:v>
      </x:c>
      <x:c r="C74" s="28" t="str">
        <x:v>UX/QA</x:v>
      </x:c>
      <x:c r="D74" s="28" t="str">
        <x:v>≤30 ثانية حتى أول فعل</x:v>
      </x:c>
      <x:c r="E74" s="28" t="str">
        <x:v>P0</x:v>
      </x:c>
      <x:c r="F74" s="28" t="str">
        <x:v>مخطط</x:v>
      </x:c>
      <x:c r="G74" s="28" t="str">
        <x:v>UX01</x:v>
      </x:c>
      <x:c r="H74" s="28" t="str">
        <x:v>قبل/أثناء الحدث وفق السماح</x:v>
      </x:c>
      <x:c r="I74" s="28" t="n">
        <x:v>2</x:v>
      </x:c>
    </x:row>
    <x:row r="75" ht="43" customHeight="1">
      <x:c r="A75" s="28" t="str">
        <x:v>UXD02</x:v>
      </x:c>
      <x:c r="B75" s="28" t="str">
        <x:v>اختبار UX — Mission select</x:v>
      </x:c>
      <x:c r="C75" s="28" t="str">
        <x:v>UX/QA</x:v>
      </x:c>
      <x:c r="D75" s="28" t="str">
        <x:v>لا يظهر زر لا يعمل دون توضيح</x:v>
      </x:c>
      <x:c r="E75" s="28" t="str">
        <x:v>P0</x:v>
      </x:c>
      <x:c r="F75" s="28" t="str">
        <x:v>مخطط</x:v>
      </x:c>
      <x:c r="G75" s="28" t="str">
        <x:v>UX02</x:v>
      </x:c>
      <x:c r="H75" s="28" t="str">
        <x:v>قبل/أثناء الحدث وفق السماح</x:v>
      </x:c>
      <x:c r="I75" s="28" t="n">
        <x:v>2</x:v>
      </x:c>
    </x:row>
    <x:row r="76" ht="43" customHeight="1">
      <x:c r="A76" s="28" t="str">
        <x:v>UXD03</x:v>
      </x:c>
      <x:c r="B76" s="28" t="str">
        <x:v>اختبار UX — ECHO hint</x:v>
      </x:c>
      <x:c r="C76" s="28" t="str">
        <x:v>UX/QA</x:v>
      </x:c>
      <x:c r="D76" s="28" t="str">
        <x:v>بعد 45s دون تقدم تظهر إشارة</x:v>
      </x:c>
      <x:c r="E76" s="28" t="str">
        <x:v>P1</x:v>
      </x:c>
      <x:c r="F76" s="28" t="str">
        <x:v>مخطط</x:v>
      </x:c>
      <x:c r="G76" s="28" t="str">
        <x:v>UX03</x:v>
      </x:c>
      <x:c r="H76" s="28" t="str">
        <x:v>قبل/أثناء الحدث وفق السماح</x:v>
      </x:c>
      <x:c r="I76" s="28" t="n">
        <x:v>2</x:v>
      </x:c>
    </x:row>
    <x:row r="77" ht="43" customHeight="1">
      <x:c r="A77" s="28" t="str">
        <x:v>UXD04</x:v>
      </x:c>
      <x:c r="B77" s="28" t="str">
        <x:v>اختبار UX — HUD</x:v>
      </x:c>
      <x:c r="C77" s="28" t="str">
        <x:v>UX/QA</x:v>
      </x:c>
      <x:c r="D77" s="28" t="str">
        <x:v>يقرأ دون التباس</x:v>
      </x:c>
      <x:c r="E77" s="28" t="str">
        <x:v>P0</x:v>
      </x:c>
      <x:c r="F77" s="28" t="str">
        <x:v>مخطط</x:v>
      </x:c>
      <x:c r="G77" s="28" t="str">
        <x:v>UX04</x:v>
      </x:c>
      <x:c r="H77" s="28" t="str">
        <x:v>قبل/أثناء الحدث وفق السماح</x:v>
      </x:c>
      <x:c r="I77" s="28" t="n">
        <x:v>2</x:v>
      </x:c>
    </x:row>
    <x:row r="78" ht="43" customHeight="1">
      <x:c r="A78" s="28" t="str">
        <x:v>UXD05</x:v>
      </x:c>
      <x:c r="B78" s="28" t="str">
        <x:v>اختبار UX — WASD / arrows</x:v>
      </x:c>
      <x:c r="C78" s="28" t="str">
        <x:v>UX/QA</x:v>
      </x:c>
      <x:c r="D78" s="28" t="str">
        <x:v>اختبار متصفح</x:v>
      </x:c>
      <x:c r="E78" s="28" t="str">
        <x:v>P0</x:v>
      </x:c>
      <x:c r="F78" s="28" t="str">
        <x:v>مخطط</x:v>
      </x:c>
      <x:c r="G78" s="28" t="str">
        <x:v>UX05</x:v>
      </x:c>
      <x:c r="H78" s="28" t="str">
        <x:v>قبل/أثناء الحدث وفق السماح</x:v>
      </x:c>
      <x:c r="I78" s="28" t="n">
        <x:v>2</x:v>
      </x:c>
    </x:row>
    <x:row r="79" ht="43" customHeight="1">
      <x:c r="A79" s="28" t="str">
        <x:v>UXD06</x:v>
      </x:c>
      <x:c r="B79" s="28" t="str">
        <x:v>اختبار UX — E button</x:v>
      </x:c>
      <x:c r="C79" s="28" t="str">
        <x:v>UX/QA</x:v>
      </x:c>
      <x:c r="D79" s="28" t="str">
        <x:v>لا تخمين زر</x:v>
      </x:c>
      <x:c r="E79" s="28" t="str">
        <x:v>P0</x:v>
      </x:c>
      <x:c r="F79" s="28" t="str">
        <x:v>مخطط</x:v>
      </x:c>
      <x:c r="G79" s="28" t="str">
        <x:v>UX06</x:v>
      </x:c>
      <x:c r="H79" s="28" t="str">
        <x:v>قبل/أثناء الحدث وفق السماح</x:v>
      </x:c>
      <x:c r="I79" s="28" t="n">
        <x:v>2</x:v>
      </x:c>
    </x:row>
    <x:row r="80" ht="43" customHeight="1">
      <x:c r="A80" s="28" t="str">
        <x:v>UXD07</x:v>
      </x:c>
      <x:c r="B80" s="28" t="str">
        <x:v>اختبار UX — WASD throttle/steer</x:v>
      </x:c>
      <x:c r="C80" s="28" t="str">
        <x:v>UX/QA</x:v>
      </x:c>
      <x:c r="D80" s="28" t="str">
        <x:v>لا تتجاوز 2 تعثر في البداية</x:v>
      </x:c>
      <x:c r="E80" s="28" t="str">
        <x:v>P0</x:v>
      </x:c>
      <x:c r="F80" s="28" t="str">
        <x:v>مخطط</x:v>
      </x:c>
      <x:c r="G80" s="28" t="str">
        <x:v>UX07</x:v>
      </x:c>
      <x:c r="H80" s="28" t="str">
        <x:v>قبل/أثناء الحدث وفق السماح</x:v>
      </x:c>
      <x:c r="I80" s="28" t="n">
        <x:v>2</x:v>
      </x:c>
    </x:row>
    <x:row r="81" ht="43" customHeight="1">
      <x:c r="A81" s="28" t="str">
        <x:v>UXD08</x:v>
      </x:c>
      <x:c r="B81" s="28" t="str">
        <x:v>اختبار UX — R recover</x:v>
      </x:c>
      <x:c r="C81" s="28" t="str">
        <x:v>UX/QA</x:v>
      </x:c>
      <x:c r="D81" s="28" t="str">
        <x:v>لا softlock</x:v>
      </x:c>
      <x:c r="E81" s="28" t="str">
        <x:v>P0</x:v>
      </x:c>
      <x:c r="F81" s="28" t="str">
        <x:v>مخطط</x:v>
      </x:c>
      <x:c r="G81" s="28" t="str">
        <x:v>UX08</x:v>
      </x:c>
      <x:c r="H81" s="28" t="str">
        <x:v>قبل/أثناء الحدث وفق السماح</x:v>
      </x:c>
      <x:c r="I81" s="28" t="n">
        <x:v>2</x:v>
      </x:c>
    </x:row>
    <x:row r="82" ht="43" customHeight="1">
      <x:c r="A82" s="28" t="str">
        <x:v>UXD09</x:v>
      </x:c>
      <x:c r="B82" s="28" t="str">
        <x:v>اختبار UX — Escape</x:v>
      </x:c>
      <x:c r="C82" s="28" t="str">
        <x:v>UX/QA</x:v>
      </x:c>
      <x:c r="D82" s="28" t="str">
        <x:v>قابل للاستئناف</x:v>
      </x:c>
      <x:c r="E82" s="28" t="str">
        <x:v>P0</x:v>
      </x:c>
      <x:c r="F82" s="28" t="str">
        <x:v>مخطط</x:v>
      </x:c>
      <x:c r="G82" s="28" t="str">
        <x:v>UX09</x:v>
      </x:c>
      <x:c r="H82" s="28" t="str">
        <x:v>قبل/أثناء الحدث وفق السماح</x:v>
      </x:c>
      <x:c r="I82" s="28" t="n">
        <x:v>2</x:v>
      </x:c>
    </x:row>
    <x:row r="83" ht="43" customHeight="1">
      <x:c r="A83" s="28" t="str">
        <x:v>UXD10</x:v>
      </x:c>
      <x:c r="B83" s="28" t="str">
        <x:v>اختبار UX — Mute</x:v>
      </x:c>
      <x:c r="C83" s="28" t="str">
        <x:v>UX/QA</x:v>
      </x:c>
      <x:c r="D83" s="28" t="str">
        <x:v>المؤثر لا يعتمد على السمع</x:v>
      </x:c>
      <x:c r="E83" s="28" t="str">
        <x:v>P0</x:v>
      </x:c>
      <x:c r="F83" s="28" t="str">
        <x:v>مخطط</x:v>
      </x:c>
      <x:c r="G83" s="28" t="str">
        <x:v>UX10</x:v>
      </x:c>
      <x:c r="H83" s="28" t="str">
        <x:v>قبل/أثناء الحدث وفق السماح</x:v>
      </x:c>
      <x:c r="I83" s="28" t="n">
        <x:v>2</x:v>
      </x:c>
    </x:row>
    <x:row r="84" ht="43" customHeight="1">
      <x:c r="A84" s="28" t="str">
        <x:v>UXD11</x:v>
      </x:c>
      <x:c r="B84" s="28" t="str">
        <x:v>اختبار UX — عربي/English</x:v>
      </x:c>
      <x:c r="C84" s="28" t="str">
        <x:v>UX/QA</x:v>
      </x:c>
      <x:c r="D84" s="28" t="str">
        <x:v>لا نص متداخل</x:v>
      </x:c>
      <x:c r="E84" s="28" t="str">
        <x:v>P0</x:v>
      </x:c>
      <x:c r="F84" s="28" t="str">
        <x:v>مخطط</x:v>
      </x:c>
      <x:c r="G84" s="28" t="str">
        <x:v>UX11</x:v>
      </x:c>
      <x:c r="H84" s="28" t="str">
        <x:v>قبل/أثناء الحدث وفق السماح</x:v>
      </x:c>
      <x:c r="I84" s="28" t="n">
        <x:v>2</x:v>
      </x:c>
    </x:row>
    <x:row r="85" ht="43" customHeight="1">
      <x:c r="A85" s="28" t="str">
        <x:v>UXD12</x:v>
      </x:c>
      <x:c r="B85" s="28" t="str">
        <x:v>اختبار UX — Responsive</x:v>
      </x:c>
      <x:c r="C85" s="28" t="str">
        <x:v>UX/QA</x:v>
      </x:c>
      <x:c r="D85" s="28" t="str">
        <x:v>مكوّن رئيسي ظاهر</x:v>
      </x:c>
      <x:c r="E85" s="28" t="str">
        <x:v>P0</x:v>
      </x:c>
      <x:c r="F85" s="28" t="str">
        <x:v>مخطط</x:v>
      </x:c>
      <x:c r="G85" s="28" t="str">
        <x:v>UX12</x:v>
      </x:c>
      <x:c r="H85" s="28" t="str">
        <x:v>قبل/أثناء الحدث وفق السماح</x:v>
      </x:c>
      <x:c r="I85" s="28" t="n">
        <x:v>2</x:v>
      </x:c>
    </x:row>
    <x:row r="86" ht="43" customHeight="1">
      <x:c r="A86" s="28" t="str">
        <x:v>UXD13</x:v>
      </x:c>
      <x:c r="B86" s="28" t="str">
        <x:v>اختبار UX — Tablet portrait</x:v>
      </x:c>
      <x:c r="C86" s="28" t="str">
        <x:v>UX/QA</x:v>
      </x:c>
      <x:c r="D86" s="28" t="str">
        <x:v>قرار P1 إذا الوقت</x:v>
      </x:c>
      <x:c r="E86" s="28" t="str">
        <x:v>P1</x:v>
      </x:c>
      <x:c r="F86" s="28" t="str">
        <x:v>مخطط</x:v>
      </x:c>
      <x:c r="G86" s="28" t="str">
        <x:v>UX13</x:v>
      </x:c>
      <x:c r="H86" s="28" t="str">
        <x:v>قبل/أثناء الحدث وفق السماح</x:v>
      </x:c>
      <x:c r="I86" s="28" t="n">
        <x:v>2</x:v>
      </x:c>
    </x:row>
    <x:row r="87" ht="43" customHeight="1">
      <x:c r="A87" s="28" t="str">
        <x:v>UXD14</x:v>
      </x:c>
      <x:c r="B87" s="28" t="str">
        <x:v>اختبار UX — Circuit</x:v>
      </x:c>
      <x:c r="C87" s="28" t="str">
        <x:v>UX/QA</x:v>
      </x:c>
      <x:c r="D87" s="28" t="str">
        <x:v>تحقق من توجيه القطع</x:v>
      </x:c>
      <x:c r="E87" s="28" t="str">
        <x:v>P0</x:v>
      </x:c>
      <x:c r="F87" s="28" t="str">
        <x:v>مخطط</x:v>
      </x:c>
      <x:c r="G87" s="28" t="str">
        <x:v>UX14</x:v>
      </x:c>
      <x:c r="H87" s="28" t="str">
        <x:v>قبل/أثناء الحدث وفق السماح</x:v>
      </x:c>
      <x:c r="I87" s="28" t="n">
        <x:v>2</x:v>
      </x:c>
    </x:row>
    <x:row r="88" ht="43" customHeight="1">
      <x:c r="A88" s="28" t="str">
        <x:v>UXD15</x:v>
      </x:c>
      <x:c r="B88" s="28" t="str">
        <x:v>اختبار UX — Evidence matching</x:v>
      </x:c>
      <x:c r="C88" s="28" t="str">
        <x:v>UX/QA</x:v>
      </x:c>
      <x:c r="D88" s="28" t="str">
        <x:v>أقل من 3 أخطاء بالنموذج</x:v>
      </x:c>
      <x:c r="E88" s="28" t="str">
        <x:v>P0</x:v>
      </x:c>
      <x:c r="F88" s="28" t="str">
        <x:v>مخطط</x:v>
      </x:c>
      <x:c r="G88" s="28" t="str">
        <x:v>UX15</x:v>
      </x:c>
      <x:c r="H88" s="28" t="str">
        <x:v>قبل/أثناء الحدث وفق السماح</x:v>
      </x:c>
      <x:c r="I88" s="28" t="n">
        <x:v>2</x:v>
      </x:c>
    </x:row>
    <x:row r="89" ht="43" customHeight="1">
      <x:c r="A89" s="28" t="str">
        <x:v>UXD16</x:v>
      </x:c>
      <x:c r="B89" s="28" t="str">
        <x:v>اختبار UX — Bar + numbers</x:v>
      </x:c>
      <x:c r="C89" s="28" t="str">
        <x:v>UX/QA</x:v>
      </x:c>
      <x:c r="D89" s="28" t="str">
        <x:v>لا انفجار بصري عنيق</x:v>
      </x:c>
      <x:c r="E89" s="28" t="str">
        <x:v>P0</x:v>
      </x:c>
      <x:c r="F89" s="28" t="str">
        <x:v>مخطط</x:v>
      </x:c>
      <x:c r="G89" s="28" t="str">
        <x:v>UX16</x:v>
      </x:c>
      <x:c r="H89" s="28" t="str">
        <x:v>قبل/أثناء الحدث وفق السماح</x:v>
      </x:c>
      <x:c r="I89" s="28" t="n">
        <x:v>2</x:v>
      </x:c>
    </x:row>
    <x:row r="90" ht="43" customHeight="1">
      <x:c r="A90" s="28" t="str">
        <x:v>UXD17</x:v>
      </x:c>
      <x:c r="B90" s="28" t="str">
        <x:v>اختبار UX — Units</x:v>
      </x:c>
      <x:c r="C90" s="28" t="str">
        <x:v>UX/QA</x:v>
      </x:c>
      <x:c r="D90" s="28" t="str">
        <x:v>تحقق عدم التباس m/km</x:v>
      </x:c>
      <x:c r="E90" s="28" t="str">
        <x:v>P0</x:v>
      </x:c>
      <x:c r="F90" s="28" t="str">
        <x:v>مخطط</x:v>
      </x:c>
      <x:c r="G90" s="28" t="str">
        <x:v>UX17</x:v>
      </x:c>
      <x:c r="H90" s="28" t="str">
        <x:v>قبل/أثناء الحدث وفق السماح</x:v>
      </x:c>
      <x:c r="I90" s="28" t="n">
        <x:v>2</x:v>
      </x:c>
    </x:row>
    <x:row r="91" ht="43" customHeight="1">
      <x:c r="A91" s="28" t="str">
        <x:v>UXD18</x:v>
      </x:c>
      <x:c r="B91" s="28" t="str">
        <x:v>اختبار UX — Autosave</x:v>
      </x:c>
      <x:c r="C91" s="28" t="str">
        <x:v>UX/QA</x:v>
      </x:c>
      <x:c r="D91" s="28" t="str">
        <x:v>لا تفقد أدلة</x:v>
      </x:c>
      <x:c r="E91" s="28" t="str">
        <x:v>P0</x:v>
      </x:c>
      <x:c r="F91" s="28" t="str">
        <x:v>مخطط</x:v>
      </x:c>
      <x:c r="G91" s="28" t="str">
        <x:v>UX18</x:v>
      </x:c>
      <x:c r="H91" s="28" t="str">
        <x:v>قبل/أثناء الحدث وفق السماح</x:v>
      </x:c>
      <x:c r="I91" s="28" t="n">
        <x:v>2</x:v>
      </x:c>
    </x:row>
    <x:row r="92" ht="43" customHeight="1">
      <x:c r="A92" s="28" t="str">
        <x:v>UXD19</x:v>
      </x:c>
      <x:c r="B92" s="28" t="str">
        <x:v>اختبار UX — Reset confirmation</x:v>
      </x:c>
      <x:c r="C92" s="28" t="str">
        <x:v>UX/QA</x:v>
      </x:c>
      <x:c r="D92" s="28" t="str">
        <x:v>تأكيد مرئي</x:v>
      </x:c>
      <x:c r="E92" s="28" t="str">
        <x:v>P0</x:v>
      </x:c>
      <x:c r="F92" s="28" t="str">
        <x:v>مخطط</x:v>
      </x:c>
      <x:c r="G92" s="28" t="str">
        <x:v>UX19</x:v>
      </x:c>
      <x:c r="H92" s="28" t="str">
        <x:v>قبل/أثناء الحدث وفق السماح</x:v>
      </x:c>
      <x:c r="I92" s="28" t="n">
        <x:v>2</x:v>
      </x:c>
    </x:row>
    <x:row r="93" ht="43" customHeight="1">
      <x:c r="A93" s="28" t="str">
        <x:v>UXD20</x:v>
      </x:c>
      <x:c r="B93" s="28" t="str">
        <x:v>اختبار UX — Clickable Exhibit</x:v>
      </x:c>
      <x:c r="C93" s="28" t="str">
        <x:v>UX/QA</x:v>
      </x:c>
      <x:c r="D93" s="28" t="str">
        <x:v>على الأقل عنصر تفاعلي</x:v>
      </x:c>
      <x:c r="E93" s="28" t="str">
        <x:v>P1</x:v>
      </x:c>
      <x:c r="F93" s="28" t="str">
        <x:v>مخطط</x:v>
      </x:c>
      <x:c r="G93" s="28" t="str">
        <x:v>UX20</x:v>
      </x:c>
      <x:c r="H93" s="28" t="str">
        <x:v>قبل/أثناء الحدث وفق السماح</x:v>
      </x:c>
      <x:c r="I93" s="28" t="n">
        <x:v>2</x:v>
      </x:c>
    </x:row>
    <x:row r="94" ht="43" customHeight="1">
      <x:c r="A94" s="28" t="str">
        <x:v>UXD21</x:v>
      </x:c>
      <x:c r="B94" s="28" t="str">
        <x:v>اختبار UX — No accounts</x:v>
      </x:c>
      <x:c r="C94" s="28" t="str">
        <x:v>UX/QA</x:v>
      </x:c>
      <x:c r="D94" s="28" t="str">
        <x:v>تحقق خصوصية</x:v>
      </x:c>
      <x:c r="E94" s="28" t="str">
        <x:v>P0</x:v>
      </x:c>
      <x:c r="F94" s="28" t="str">
        <x:v>مخطط</x:v>
      </x:c>
      <x:c r="G94" s="28" t="str">
        <x:v>UX21</x:v>
      </x:c>
      <x:c r="H94" s="28" t="str">
        <x:v>قبل/أثناء الحدث وفق السماح</x:v>
      </x:c>
      <x:c r="I94" s="28" t="n">
        <x:v>2</x:v>
      </x:c>
    </x:row>
    <x:row r="95" ht="43" customHeight="1">
      <x:c r="A95" s="28" t="str">
        <x:v>UXD22</x:v>
      </x:c>
      <x:c r="B95" s="28" t="str">
        <x:v>اختبار UX — Reduced motion</x:v>
      </x:c>
      <x:c r="C95" s="28" t="str">
        <x:v>UX/QA</x:v>
      </x:c>
      <x:c r="D95" s="28" t="str">
        <x:v>راحة مستخدم</x:v>
      </x:c>
      <x:c r="E95" s="28" t="str">
        <x:v>P1</x:v>
      </x:c>
      <x:c r="F95" s="28" t="str">
        <x:v>مخطط</x:v>
      </x:c>
      <x:c r="G95" s="28" t="str">
        <x:v>UX22</x:v>
      </x:c>
      <x:c r="H95" s="28" t="str">
        <x:v>قبل/أثناء الحدث وفق السماح</x:v>
      </x:c>
      <x:c r="I95" s="28" t="n">
        <x:v>2</x:v>
      </x:c>
    </x:row>
    <x:row r="96" ht="43" customHeight="1">
      <x:c r="A96" s="28" t="str">
        <x:v>UXD23</x:v>
      </x:c>
      <x:c r="B96" s="28" t="str">
        <x:v>اختبار UX — Keyboard focus</x:v>
      </x:c>
      <x:c r="C96" s="28" t="str">
        <x:v>UX/QA</x:v>
      </x:c>
      <x:c r="D96" s="28" t="str">
        <x:v>لا فخ تركيز</x:v>
      </x:c>
      <x:c r="E96" s="28" t="str">
        <x:v>P1</x:v>
      </x:c>
      <x:c r="F96" s="28" t="str">
        <x:v>مخطط</x:v>
      </x:c>
      <x:c r="G96" s="28" t="str">
        <x:v>UX23</x:v>
      </x:c>
      <x:c r="H96" s="28" t="str">
        <x:v>قبل/أثناء الحدث وفق السماح</x:v>
      </x:c>
      <x:c r="I96" s="28" t="n">
        <x:v>2</x:v>
      </x:c>
    </x:row>
    <x:row r="97" ht="43" customHeight="1">
      <x:c r="A97" s="28" t="str">
        <x:v>UXD24</x:v>
      </x:c>
      <x:c r="B97" s="28" t="str">
        <x:v>اختبار UX — Contrast</x:v>
      </x:c>
      <x:c r="C97" s="28" t="str">
        <x:v>UX/QA</x:v>
      </x:c>
      <x:c r="D97" s="28" t="str">
        <x:v>اختبار WCAG مبدئي</x:v>
      </x:c>
      <x:c r="E97" s="28" t="str">
        <x:v>P1</x:v>
      </x:c>
      <x:c r="F97" s="28" t="str">
        <x:v>مخطط</x:v>
      </x:c>
      <x:c r="G97" s="28" t="str">
        <x:v>UX24</x:v>
      </x:c>
      <x:c r="H97" s="28" t="str">
        <x:v>قبل/أثناء الحدث وفق السماح</x:v>
      </x:c>
      <x:c r="I97" s="28" t="n">
        <x:v>2</x:v>
      </x:c>
    </x:row>
    <x:row r="98" ht="43" customHeight="1">
      <x:c r="A98" s="28" t="str">
        <x:v>UXD25</x:v>
      </x:c>
      <x:c r="B98" s="28" t="str">
        <x:v>اختبار UX — Historical/Sim tag</x:v>
      </x:c>
      <x:c r="C98" s="28" t="str">
        <x:v>UX/QA</x:v>
      </x:c>
      <x:c r="D98" s="28" t="str">
        <x:v>لا التباس</x:v>
      </x:c>
      <x:c r="E98" s="28" t="str">
        <x:v>P0</x:v>
      </x:c>
      <x:c r="F98" s="28" t="str">
        <x:v>مخطط</x:v>
      </x:c>
      <x:c r="G98" s="28" t="str">
        <x:v>UX25</x:v>
      </x:c>
      <x:c r="H98" s="28" t="str">
        <x:v>قبل/أثناء الحدث وفق السماح</x:v>
      </x:c>
      <x:c r="I98" s="28" t="n">
        <x:v>2</x:v>
      </x:c>
    </x:row>
    <x:row r="99" ht="43" customHeight="1">
      <x:c r="A99" s="28" t="str">
        <x:v>UXD26</x:v>
      </x:c>
      <x:c r="B99" s="28" t="str">
        <x:v>اختبار UX — First load</x:v>
      </x:c>
      <x:c r="C99" s="28" t="str">
        <x:v>UX/QA</x:v>
      </x:c>
      <x:c r="D99" s="28" t="str">
        <x:v>لا صفحة بيضاء</x:v>
      </x:c>
      <x:c r="E99" s="28" t="str">
        <x:v>P0</x:v>
      </x:c>
      <x:c r="F99" s="28" t="str">
        <x:v>مخطط</x:v>
      </x:c>
      <x:c r="G99" s="28" t="str">
        <x:v>UX26</x:v>
      </x:c>
      <x:c r="H99" s="28" t="str">
        <x:v>قبل/أثناء الحدث وفق السماح</x:v>
      </x:c>
      <x:c r="I99" s="28" t="n">
        <x:v>2</x:v>
      </x:c>
    </x:row>
    <x:row r="100" ht="43" customHeight="1">
      <x:c r="A100" s="28" t="str">
        <x:v>UXD27</x:v>
      </x:c>
      <x:c r="B100" s="28" t="str">
        <x:v>اختبار UX — Recoverable</x:v>
      </x:c>
      <x:c r="C100" s="28" t="str">
        <x:v>UX/QA</x:v>
      </x:c>
      <x:c r="D100" s="28" t="str">
        <x:v>يمكن إعادة دون مسح</x:v>
      </x:c>
      <x:c r="E100" s="28" t="str">
        <x:v>P0</x:v>
      </x:c>
      <x:c r="F100" s="28" t="str">
        <x:v>مخطط</x:v>
      </x:c>
      <x:c r="G100" s="28" t="str">
        <x:v>UX27</x:v>
      </x:c>
      <x:c r="H100" s="28" t="str">
        <x:v>قبل/أثناء الحدث وفق السماح</x:v>
      </x:c>
      <x:c r="I100" s="28" t="n">
        <x:v>2</x:v>
      </x:c>
    </x:row>
    <x:row r="101" ht="43" customHeight="1">
      <x:c r="A101" s="28" t="str">
        <x:v>UXD28</x:v>
      </x:c>
      <x:c r="B101" s="28" t="str">
        <x:v>اختبار UX — Secrets optional</x:v>
      </x:c>
      <x:c r="C101" s="28" t="str">
        <x:v>UX/QA</x:v>
      </x:c>
      <x:c r="D101" s="28" t="str">
        <x:v>اختبار مهمّة خط رئيسي</x:v>
      </x:c>
      <x:c r="E101" s="28" t="str">
        <x:v>P1</x:v>
      </x:c>
      <x:c r="F101" s="28" t="str">
        <x:v>مخطط</x:v>
      </x:c>
      <x:c r="G101" s="28" t="str">
        <x:v>UX28</x:v>
      </x:c>
      <x:c r="H101" s="28" t="str">
        <x:v>قبل/أثناء الحدث وفق السماح</x:v>
      </x:c>
      <x:c r="I101" s="28" t="n">
        <x:v>2</x:v>
      </x:c>
    </x:row>
    <x:row r="102" ht="43" customHeight="1">
      <x:c r="A102" s="28" t="str">
        <x:v>UXD29</x:v>
      </x:c>
      <x:c r="B102" s="28" t="str">
        <x:v>اختبار UX — Meaningful reward</x:v>
      </x:c>
      <x:c r="C102" s="28" t="str">
        <x:v>UX/QA</x:v>
      </x:c>
      <x:c r="D102" s="28" t="str">
        <x:v>تؤكد تغيرًا مرئيًا</x:v>
      </x:c>
      <x:c r="E102" s="28" t="str">
        <x:v>P0</x:v>
      </x:c>
      <x:c r="F102" s="28" t="str">
        <x:v>مخطط</x:v>
      </x:c>
      <x:c r="G102" s="28" t="str">
        <x:v>UX29</x:v>
      </x:c>
      <x:c r="H102" s="28" t="str">
        <x:v>قبل/أثناء الحدث وفق السماح</x:v>
      </x:c>
      <x:c r="I102" s="28" t="n">
        <x:v>2</x:v>
      </x:c>
    </x:row>
    <x:row r="103" ht="43" customHeight="1">
      <x:c r="A103" s="28" t="str">
        <x:v>UXD30</x:v>
      </x:c>
      <x:c r="B103" s="28" t="str">
        <x:v>اختبار UX — No narration mode</x:v>
      </x:c>
      <x:c r="C103" s="28" t="str">
        <x:v>UX/QA</x:v>
      </x:c>
      <x:c r="D103" s="28" t="str">
        <x:v>تجربة لاعبين</x:v>
      </x:c>
      <x:c r="E103" s="28" t="str">
        <x:v>P0</x:v>
      </x:c>
      <x:c r="F103" s="28" t="str">
        <x:v>مخطط</x:v>
      </x:c>
      <x:c r="G103" s="28" t="str">
        <x:v>UX30</x:v>
      </x:c>
      <x:c r="H103" s="28" t="str">
        <x:v>قبل/أثناء الحدث وفق السماح</x:v>
      </x:c>
      <x:c r="I103" s="28" t="n">
        <x:v>2</x:v>
      </x:c>
    </x:row>
  </x:sheetData>
  <x:mergeCells>
    <x:mergeCell ref="A1:I1"/>
    <x:mergeCell ref="A2:I2"/>
    <x:mergeCell ref="A3:I3"/>
  </x:mergeCells>
  <x:conditionalFormatting sqref="F6:F103">
    <x:cfRule type="expression" dxfId="59" priority="1">
      <x:formula>F6="مكتمل"</x:formula>
    </x:cfRule>
    <x:cfRule type="expression" dxfId="60" priority="2">
      <x:formula>F6="محظور حتى التحقق"</x:formula>
    </x:cfRule>
    <x:cfRule type="expression" dxfId="61" priority="3">
      <x:formula>F6="يحتاج تحقق"</x:formula>
    </x:cfRule>
  </x:conditionalFormatting>
  <x:conditionalFormatting sqref="E6:E103">
    <x:cfRule type="expression" dxfId="62" priority="4">
      <x:formula>E6="P0"</x:formula>
    </x:cfRule>
    <x:cfRule type="expression" dxfId="63" priority="5">
      <x:formula>E6="حرج"</x:formula>
    </x:cfRule>
  </x:conditionalFormatting>
  <x:dataValidations count="1">
    <x:dataValidation type="list" sqref="F6:F103">
      <x:formula1>"موجود حاليًا,قيد التطوير,مخطط,يحتاج تحقق,مكتمل,لم يبدأ,مؤجل,محظور حتى التحقق,غير منطبق"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a68e3ffc8540ad"/>
  </x:tableParts>
</x:worksheet>
</file>

<file path=xl/worksheets/sheet2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1" hidden="0" customWidth="1"/>
    <x:col min="3" max="3" width="40" hidden="0" customWidth="1"/>
    <x:col min="4" max="4" width="76" hidden="0" customWidth="1"/>
    <x:col min="5" max="5" width="59" hidden="0" customWidth="1"/>
    <x:col min="6" max="6" width="15" hidden="0" customWidth="1"/>
    <x:col min="7" max="7" width="23" hidden="0" customWidth="1"/>
    <x:col min="8" max="8" width="23" hidden="0" customWidth="1"/>
  </x:cols>
  <x:sheetData>
    <x:row r="1" ht="38" customHeight="1">
      <x:c r="A1" s="4" t="str">
        <x:v>فريق الستة</x:v>
      </x:c>
      <x:c r="B1" s="4"/>
      <x:c r="C1" s="4"/>
      <x:c r="D1" s="4"/>
      <x:c r="E1" s="4"/>
      <x:c r="F1" s="4"/>
      <x:c r="G1" s="4"/>
      <x:c r="H1" s="4"/>
    </x:row>
    <x:row r="2" ht="29" customHeight="1">
      <x:c r="A2" s="10" t="str">
        <x:v>ستة أدوار مقترحة لا تمثل توظيفًا فعليًا، مع تفويض ونتائج لا واجبات مبهمة</x:v>
      </x:c>
      <x:c r="B2" s="10"/>
      <x:c r="C2" s="10"/>
      <x:c r="D2" s="10"/>
      <x:c r="E2" s="10"/>
      <x:c r="F2" s="10"/>
      <x:c r="G2" s="10"/>
      <x:c r="H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  <x:c r="H3" s="15"/>
    </x:row>
    <x:row r="5" ht="34" customHeight="1">
      <x:c r="A5" s="21" t="str">
        <x:v>ID</x:v>
      </x:c>
      <x:c r="B5" s="21" t="str">
        <x:v>الدور</x:v>
      </x:c>
      <x:c r="C5" s="21" t="str">
        <x:v>طبيعته</x:v>
      </x:c>
      <x:c r="D5" s="21" t="str">
        <x:v>المسؤولية</x:v>
      </x:c>
      <x:c r="E5" s="21" t="str">
        <x:v>معيار التسليم</x:v>
      </x:c>
      <x:c r="F5" s="21" t="str">
        <x:v>تسلسل</x:v>
      </x:c>
      <x:c r="G5" s="21" t="str">
        <x:v>الاسم الفعلي</x:v>
      </x:c>
      <x:c r="H5" s="21" t="str">
        <x:v>مرجع</x:v>
      </x:c>
    </x:row>
    <x:row r="6" ht="43" customHeight="1">
      <x:c r="A6" s="28" t="str">
        <x:v>R01</x:v>
      </x:c>
      <x:c r="B6" s="28" t="str">
        <x:v>قائد المشروع/المنتج</x:v>
      </x:c>
      <x:c r="C6" s="28" t="str">
        <x:v>مقترح دور؛ لا يعني التعيين الفعلي</x:v>
      </x:c>
      <x:c r="D6" s="28" t="str">
        <x:v>قرار النطاق والمخاطر، العلاقة بالمنظم، العرض</x:v>
      </x:c>
      <x:c r="E6" s="28" t="str">
        <x:v>أهلية موثقة + نسخة عرض + قرار Go/No-go</x:v>
      </x:c>
      <x:c r="F6" s="28" t="str">
        <x:v>1</x:v>
      </x:c>
      <x:c r="G6" s="28" t="str">
        <x:v>غير محدد</x:v>
      </x:c>
      <x:c r="H6" s="28" t="str">
        <x:v>S03</x:v>
      </x:c>
    </x:row>
    <x:row r="7" ht="43" customHeight="1">
      <x:c r="A7" s="28" t="str">
        <x:v>R02</x:v>
      </x:c>
      <x:c r="B7" s="28" t="str">
        <x:v>Gameplay Engineer</x:v>
      </x:c>
      <x:c r="C7" s="28" t="str">
        <x:v>مقترح دور؛ لا يعني التعيين الفعلي</x:v>
      </x:c>
      <x:c r="D7" s="28" t="str">
        <x:v>الحركة والقيادة وألغاز الدائرة والربط</x:v>
      </x:c>
      <x:c r="E7" s="28" t="str">
        <x:v>Apollo بلا softlocks، مدخلات ثابتة</x:v>
      </x:c>
      <x:c r="F7" s="28" t="str">
        <x:v>2</x:v>
      </x:c>
      <x:c r="G7" s="28" t="str">
        <x:v>غير محدد</x:v>
      </x:c>
      <x:c r="H7" s="28" t="str">
        <x:v>PZ02/PZ05</x:v>
      </x:c>
    </x:row>
    <x:row r="8" ht="43" customHeight="1">
      <x:c r="A8" s="28" t="str">
        <x:v>R03</x:v>
      </x:c>
      <x:c r="B8" s="28" t="str">
        <x:v>Systems Engineer</x:v>
      </x:c>
      <x:c r="C8" s="28" t="str">
        <x:v>مقترح دور؛ لا يعني التعيين الفعلي</x:v>
      </x:c>
      <x:c r="D8" s="28" t="str">
        <x:v>الحفظ ومراحل اللعبة والنقاط</x:v>
      </x:c>
      <x:c r="E8" s="28" t="str">
        <x:v>انتقالات + reload + عدم تكرار XP</x:v>
      </x:c>
      <x:c r="F8" s="28" t="str">
        <x:v>3</x:v>
      </x:c>
      <x:c r="G8" s="28" t="str">
        <x:v>غير محدد</x:v>
      </x:c>
      <x:c r="H8" s="28" t="str">
        <x:v>Architecture</x:v>
      </x:c>
    </x:row>
    <x:row r="9" ht="43" customHeight="1">
      <x:c r="A9" s="28" t="str">
        <x:v>R04</x:v>
      </x:c>
      <x:c r="B9" s="28" t="str">
        <x:v>Science Lead</x:v>
      </x:c>
      <x:c r="C9" s="28" t="str">
        <x:v>مقترح دور؛ لا يعني التعيين الفعلي</x:v>
      </x:c>
      <x:c r="D9" s="28" t="str">
        <x:v>NASA claims والمحاكاة والمنهج</x:v>
      </x:c>
      <x:c r="E9" s="28" t="str">
        <x:v>كل عبارة مهمة claim→source</x:v>
      </x:c>
      <x:c r="F9" s="28" t="str">
        <x:v>4</x:v>
      </x:c>
      <x:c r="G9" s="28" t="str">
        <x:v>غير محدد</x:v>
      </x:c>
      <x:c r="H9" s="28" t="str">
        <x:v>S05/S09</x:v>
      </x:c>
    </x:row>
    <x:row r="10" ht="43" customHeight="1">
      <x:c r="A10" s="28" t="str">
        <x:v>R05</x:v>
      </x:c>
      <x:c r="B10" s="28" t="str">
        <x:v>Game Artist/UX</x:v>
      </x:c>
      <x:c r="C10" s="28" t="str">
        <x:v>مقترح دور؛ لا يعني التعيين الفعلي</x:v>
      </x:c>
      <x:c r="D10" s="28" t="str">
        <x:v>الهوية البصرية والواجهة والتوطين</x:v>
      </x:c>
      <x:c r="E10" s="28" t="str">
        <x:v>رحلة واضحة وثابتة العربية/الإنجليزية</x:v>
      </x:c>
      <x:c r="F10" s="28" t="str">
        <x:v>5</x:v>
      </x:c>
      <x:c r="G10" s="28" t="str">
        <x:v>غير محدد</x:v>
      </x:c>
      <x:c r="H10" s="28" t="str">
        <x:v>UX</x:v>
      </x:c>
    </x:row>
    <x:row r="11" ht="43" customHeight="1">
      <x:c r="A11" s="28" t="str">
        <x:v>R06</x:v>
      </x:c>
      <x:c r="B11" s="28" t="str">
        <x:v>QA/Learning Research</x:v>
      </x:c>
      <x:c r="C11" s="28" t="str">
        <x:v>مقترح دور؛ لا يعني التعيين الفعلي</x:v>
      </x:c>
      <x:c r="D11" s="28" t="str">
        <x:v>اختبار اللاعبين وحالات الفشل والعرض</x:v>
      </x:c>
      <x:c r="E11" s="28" t="str">
        <x:v>50+ حالة QA ومقاييس حقيقية</x:v>
      </x:c>
      <x:c r="F11" s="28" t="str">
        <x:v>6</x:v>
      </x:c>
      <x:c r="G11" s="28" t="str">
        <x:v>غير محدد</x:v>
      </x:c>
      <x:c r="H11" s="28" t="str">
        <x:v>QA</x:v>
      </x:c>
    </x:row>
    <x:row r="12" ht="43" customHeight="1">
      <x:c r="A12" s="28" t="str">
        <x:v>R01-6</x:v>
      </x:c>
      <x:c r="B12" s="28" t="str">
        <x:v>قائد المشروع/المنتج</x:v>
      </x:c>
      <x:c r="C12" s="28" t="str">
        <x:v>مهام مجدولة افتراضية</x:v>
      </x:c>
      <x:c r="D12" s="28" t="str">
        <x:v>أسبوع تحضير: قائمة الأدلة المسموحة</x:v>
      </x:c>
      <x:c r="E12" s="28" t="str">
        <x:v>أهلية موثقة + نسخة عرض + قرار Go/No-go</x:v>
      </x:c>
      <x:c r="F12" s="28" t="str">
        <x:v>1</x:v>
      </x:c>
      <x:c r="G12" s="28" t="str">
        <x:v>غير محدد</x:v>
      </x:c>
      <x:c r="H12" s="28" t="str">
        <x:v>S03</x:v>
      </x:c>
    </x:row>
    <x:row r="13" ht="43" customHeight="1">
      <x:c r="A13" s="28" t="str">
        <x:v>R01-7</x:v>
      </x:c>
      <x:c r="B13" s="28" t="str">
        <x:v>قائد المشروع/المنتج</x:v>
      </x:c>
      <x:c r="C13" s="28" t="str">
        <x:v>مهام مجدولة افتراضية</x:v>
      </x:c>
      <x:c r="D13" s="28" t="str">
        <x:v>14 نوفمبر: بناء/فحص وحدات ضمن شروط الأهلية</x:v>
      </x:c>
      <x:c r="E13" s="28" t="str">
        <x:v>أهلية موثقة + نسخة عرض + قرار Go/No-go</x:v>
      </x:c>
      <x:c r="F13" s="28" t="str">
        <x:v>1</x:v>
      </x:c>
      <x:c r="G13" s="28" t="str">
        <x:v>غير محدد</x:v>
      </x:c>
      <x:c r="H13" s="28" t="str">
        <x:v>S03</x:v>
      </x:c>
    </x:row>
    <x:row r="14" ht="43" customHeight="1">
      <x:c r="A14" s="28" t="str">
        <x:v>R01-8</x:v>
      </x:c>
      <x:c r="B14" s="28" t="str">
        <x:v>قائد المشروع/المنتج</x:v>
      </x:c>
      <x:c r="C14" s="28" t="str">
        <x:v>مهام مجدولة افتراضية</x:v>
      </x:c>
      <x:c r="D14" s="28" t="str">
        <x:v>15 نوفمبر: اختبار وتوثيق وتسليم</x:v>
      </x:c>
      <x:c r="E14" s="28" t="str">
        <x:v>أهلية موثقة + نسخة عرض + قرار Go/No-go</x:v>
      </x:c>
      <x:c r="F14" s="28" t="str">
        <x:v>1</x:v>
      </x:c>
      <x:c r="G14" s="28" t="str">
        <x:v>غير محدد</x:v>
      </x:c>
      <x:c r="H14" s="28" t="str">
        <x:v>S03</x:v>
      </x:c>
    </x:row>
    <x:row r="15" ht="43" customHeight="1">
      <x:c r="A15" s="28" t="str">
        <x:v>R02-9</x:v>
      </x:c>
      <x:c r="B15" s="28" t="str">
        <x:v>Gameplay Engineer</x:v>
      </x:c>
      <x:c r="C15" s="28" t="str">
        <x:v>مهام مجدولة افتراضية</x:v>
      </x:c>
      <x:c r="D15" s="28" t="str">
        <x:v>أسبوع تحضير: قائمة الأدلة المسموحة</x:v>
      </x:c>
      <x:c r="E15" s="28" t="str">
        <x:v>Apollo بلا softlocks، مدخلات ثابتة</x:v>
      </x:c>
      <x:c r="F15" s="28" t="str">
        <x:v>2</x:v>
      </x:c>
      <x:c r="G15" s="28" t="str">
        <x:v>غير محدد</x:v>
      </x:c>
      <x:c r="H15" s="28" t="str">
        <x:v>PZ02/PZ05</x:v>
      </x:c>
    </x:row>
    <x:row r="16" ht="43" customHeight="1">
      <x:c r="A16" s="28" t="str">
        <x:v>R02-10</x:v>
      </x:c>
      <x:c r="B16" s="28" t="str">
        <x:v>Gameplay Engineer</x:v>
      </x:c>
      <x:c r="C16" s="28" t="str">
        <x:v>مهام مجدولة افتراضية</x:v>
      </x:c>
      <x:c r="D16" s="28" t="str">
        <x:v>14 نوفمبر: بناء/فحص وحدات ضمن شروط الأهلية</x:v>
      </x:c>
      <x:c r="E16" s="28" t="str">
        <x:v>Apollo بلا softlocks، مدخلات ثابتة</x:v>
      </x:c>
      <x:c r="F16" s="28" t="str">
        <x:v>2</x:v>
      </x:c>
      <x:c r="G16" s="28" t="str">
        <x:v>غير محدد</x:v>
      </x:c>
      <x:c r="H16" s="28" t="str">
        <x:v>PZ02/PZ05</x:v>
      </x:c>
    </x:row>
    <x:row r="17" ht="43" customHeight="1">
      <x:c r="A17" s="28" t="str">
        <x:v>R02-11</x:v>
      </x:c>
      <x:c r="B17" s="28" t="str">
        <x:v>Gameplay Engineer</x:v>
      </x:c>
      <x:c r="C17" s="28" t="str">
        <x:v>مهام مجدولة افتراضية</x:v>
      </x:c>
      <x:c r="D17" s="28" t="str">
        <x:v>15 نوفمبر: اختبار وتوثيق وتسليم</x:v>
      </x:c>
      <x:c r="E17" s="28" t="str">
        <x:v>Apollo بلا softlocks، مدخلات ثابتة</x:v>
      </x:c>
      <x:c r="F17" s="28" t="str">
        <x:v>2</x:v>
      </x:c>
      <x:c r="G17" s="28" t="str">
        <x:v>غير محدد</x:v>
      </x:c>
      <x:c r="H17" s="28" t="str">
        <x:v>PZ02/PZ05</x:v>
      </x:c>
    </x:row>
    <x:row r="18" ht="43" customHeight="1">
      <x:c r="A18" s="28" t="str">
        <x:v>R03-12</x:v>
      </x:c>
      <x:c r="B18" s="28" t="str">
        <x:v>Systems Engineer</x:v>
      </x:c>
      <x:c r="C18" s="28" t="str">
        <x:v>مهام مجدولة افتراضية</x:v>
      </x:c>
      <x:c r="D18" s="28" t="str">
        <x:v>أسبوع تحضير: قائمة الأدلة المسموحة</x:v>
      </x:c>
      <x:c r="E18" s="28" t="str">
        <x:v>انتقالات + reload + عدم تكرار XP</x:v>
      </x:c>
      <x:c r="F18" s="28" t="str">
        <x:v>3</x:v>
      </x:c>
      <x:c r="G18" s="28" t="str">
        <x:v>غير محدد</x:v>
      </x:c>
      <x:c r="H18" s="28" t="str">
        <x:v>Architecture</x:v>
      </x:c>
    </x:row>
    <x:row r="19" ht="43" customHeight="1">
      <x:c r="A19" s="28" t="str">
        <x:v>R03-13</x:v>
      </x:c>
      <x:c r="B19" s="28" t="str">
        <x:v>Systems Engineer</x:v>
      </x:c>
      <x:c r="C19" s="28" t="str">
        <x:v>مهام مجدولة افتراضية</x:v>
      </x:c>
      <x:c r="D19" s="28" t="str">
        <x:v>14 نوفمبر: بناء/فحص وحدات ضمن شروط الأهلية</x:v>
      </x:c>
      <x:c r="E19" s="28" t="str">
        <x:v>انتقالات + reload + عدم تكرار XP</x:v>
      </x:c>
      <x:c r="F19" s="28" t="str">
        <x:v>3</x:v>
      </x:c>
      <x:c r="G19" s="28" t="str">
        <x:v>غير محدد</x:v>
      </x:c>
      <x:c r="H19" s="28" t="str">
        <x:v>Architecture</x:v>
      </x:c>
    </x:row>
    <x:row r="20" ht="43" customHeight="1">
      <x:c r="A20" s="28" t="str">
        <x:v>R03-14</x:v>
      </x:c>
      <x:c r="B20" s="28" t="str">
        <x:v>Systems Engineer</x:v>
      </x:c>
      <x:c r="C20" s="28" t="str">
        <x:v>مهام مجدولة افتراضية</x:v>
      </x:c>
      <x:c r="D20" s="28" t="str">
        <x:v>15 نوفمبر: اختبار وتوثيق وتسليم</x:v>
      </x:c>
      <x:c r="E20" s="28" t="str">
        <x:v>انتقالات + reload + عدم تكرار XP</x:v>
      </x:c>
      <x:c r="F20" s="28" t="str">
        <x:v>3</x:v>
      </x:c>
      <x:c r="G20" s="28" t="str">
        <x:v>غير محدد</x:v>
      </x:c>
      <x:c r="H20" s="28" t="str">
        <x:v>Architecture</x:v>
      </x:c>
    </x:row>
    <x:row r="21" ht="43" customHeight="1">
      <x:c r="A21" s="28" t="str">
        <x:v>R04-15</x:v>
      </x:c>
      <x:c r="B21" s="28" t="str">
        <x:v>Science Lead</x:v>
      </x:c>
      <x:c r="C21" s="28" t="str">
        <x:v>مهام مجدولة افتراضية</x:v>
      </x:c>
      <x:c r="D21" s="28" t="str">
        <x:v>أسبوع تحضير: قائمة الأدلة المسموحة</x:v>
      </x:c>
      <x:c r="E21" s="28" t="str">
        <x:v>كل عبارة مهمة claim→source</x:v>
      </x:c>
      <x:c r="F21" s="28" t="str">
        <x:v>4</x:v>
      </x:c>
      <x:c r="G21" s="28" t="str">
        <x:v>غير محدد</x:v>
      </x:c>
      <x:c r="H21" s="28" t="str">
        <x:v>S05/S09</x:v>
      </x:c>
    </x:row>
    <x:row r="22" ht="43" customHeight="1">
      <x:c r="A22" s="28" t="str">
        <x:v>R04-16</x:v>
      </x:c>
      <x:c r="B22" s="28" t="str">
        <x:v>Science Lead</x:v>
      </x:c>
      <x:c r="C22" s="28" t="str">
        <x:v>مهام مجدولة افتراضية</x:v>
      </x:c>
      <x:c r="D22" s="28" t="str">
        <x:v>14 نوفمبر: بناء/فحص وحدات ضمن شروط الأهلية</x:v>
      </x:c>
      <x:c r="E22" s="28" t="str">
        <x:v>كل عبارة مهمة claim→source</x:v>
      </x:c>
      <x:c r="F22" s="28" t="str">
        <x:v>4</x:v>
      </x:c>
      <x:c r="G22" s="28" t="str">
        <x:v>غير محدد</x:v>
      </x:c>
      <x:c r="H22" s="28" t="str">
        <x:v>S05/S09</x:v>
      </x:c>
    </x:row>
    <x:row r="23" ht="43" customHeight="1">
      <x:c r="A23" s="28" t="str">
        <x:v>R04-17</x:v>
      </x:c>
      <x:c r="B23" s="28" t="str">
        <x:v>Science Lead</x:v>
      </x:c>
      <x:c r="C23" s="28" t="str">
        <x:v>مهام مجدولة افتراضية</x:v>
      </x:c>
      <x:c r="D23" s="28" t="str">
        <x:v>15 نوفمبر: اختبار وتوثيق وتسليم</x:v>
      </x:c>
      <x:c r="E23" s="28" t="str">
        <x:v>كل عبارة مهمة claim→source</x:v>
      </x:c>
      <x:c r="F23" s="28" t="str">
        <x:v>4</x:v>
      </x:c>
      <x:c r="G23" s="28" t="str">
        <x:v>غير محدد</x:v>
      </x:c>
      <x:c r="H23" s="28" t="str">
        <x:v>S05/S09</x:v>
      </x:c>
    </x:row>
    <x:row r="24" ht="43" customHeight="1">
      <x:c r="A24" s="28" t="str">
        <x:v>R05-18</x:v>
      </x:c>
      <x:c r="B24" s="28" t="str">
        <x:v>Game Artist/UX</x:v>
      </x:c>
      <x:c r="C24" s="28" t="str">
        <x:v>مهام مجدولة افتراضية</x:v>
      </x:c>
      <x:c r="D24" s="28" t="str">
        <x:v>أسبوع تحضير: قائمة الأدلة المسموحة</x:v>
      </x:c>
      <x:c r="E24" s="28" t="str">
        <x:v>رحلة واضحة وثابتة العربية/الإنجليزية</x:v>
      </x:c>
      <x:c r="F24" s="28" t="str">
        <x:v>5</x:v>
      </x:c>
      <x:c r="G24" s="28" t="str">
        <x:v>غير محدد</x:v>
      </x:c>
      <x:c r="H24" s="28" t="str">
        <x:v>UX</x:v>
      </x:c>
    </x:row>
    <x:row r="25" ht="43" customHeight="1">
      <x:c r="A25" s="28" t="str">
        <x:v>R05-19</x:v>
      </x:c>
      <x:c r="B25" s="28" t="str">
        <x:v>Game Artist/UX</x:v>
      </x:c>
      <x:c r="C25" s="28" t="str">
        <x:v>مهام مجدولة افتراضية</x:v>
      </x:c>
      <x:c r="D25" s="28" t="str">
        <x:v>14 نوفمبر: بناء/فحص وحدات ضمن شروط الأهلية</x:v>
      </x:c>
      <x:c r="E25" s="28" t="str">
        <x:v>رحلة واضحة وثابتة العربية/الإنجليزية</x:v>
      </x:c>
      <x:c r="F25" s="28" t="str">
        <x:v>5</x:v>
      </x:c>
      <x:c r="G25" s="28" t="str">
        <x:v>غير محدد</x:v>
      </x:c>
      <x:c r="H25" s="28" t="str">
        <x:v>UX</x:v>
      </x:c>
    </x:row>
    <x:row r="26" ht="43" customHeight="1">
      <x:c r="A26" s="28" t="str">
        <x:v>R05-20</x:v>
      </x:c>
      <x:c r="B26" s="28" t="str">
        <x:v>Game Artist/UX</x:v>
      </x:c>
      <x:c r="C26" s="28" t="str">
        <x:v>مهام مجدولة افتراضية</x:v>
      </x:c>
      <x:c r="D26" s="28" t="str">
        <x:v>15 نوفمبر: اختبار وتوثيق وتسليم</x:v>
      </x:c>
      <x:c r="E26" s="28" t="str">
        <x:v>رحلة واضحة وثابتة العربية/الإنجليزية</x:v>
      </x:c>
      <x:c r="F26" s="28" t="str">
        <x:v>5</x:v>
      </x:c>
      <x:c r="G26" s="28" t="str">
        <x:v>غير محدد</x:v>
      </x:c>
      <x:c r="H26" s="28" t="str">
        <x:v>UX</x:v>
      </x:c>
    </x:row>
    <x:row r="27" ht="43" customHeight="1">
      <x:c r="A27" s="28" t="str">
        <x:v>R06-21</x:v>
      </x:c>
      <x:c r="B27" s="28" t="str">
        <x:v>QA/Learning Research</x:v>
      </x:c>
      <x:c r="C27" s="28" t="str">
        <x:v>مهام مجدولة افتراضية</x:v>
      </x:c>
      <x:c r="D27" s="28" t="str">
        <x:v>أسبوع تحضير: قائمة الأدلة المسموحة</x:v>
      </x:c>
      <x:c r="E27" s="28" t="str">
        <x:v>50+ حالة QA ومقاييس حقيقية</x:v>
      </x:c>
      <x:c r="F27" s="28" t="str">
        <x:v>6</x:v>
      </x:c>
      <x:c r="G27" s="28" t="str">
        <x:v>غير محدد</x:v>
      </x:c>
      <x:c r="H27" s="28" t="str">
        <x:v>QA</x:v>
      </x:c>
    </x:row>
    <x:row r="28" ht="43" customHeight="1">
      <x:c r="A28" s="28" t="str">
        <x:v>R06-22</x:v>
      </x:c>
      <x:c r="B28" s="28" t="str">
        <x:v>QA/Learning Research</x:v>
      </x:c>
      <x:c r="C28" s="28" t="str">
        <x:v>مهام مجدولة افتراضية</x:v>
      </x:c>
      <x:c r="D28" s="28" t="str">
        <x:v>14 نوفمبر: بناء/فحص وحدات ضمن شروط الأهلية</x:v>
      </x:c>
      <x:c r="E28" s="28" t="str">
        <x:v>50+ حالة QA ومقاييس حقيقية</x:v>
      </x:c>
      <x:c r="F28" s="28" t="str">
        <x:v>6</x:v>
      </x:c>
      <x:c r="G28" s="28" t="str">
        <x:v>غير محدد</x:v>
      </x:c>
      <x:c r="H28" s="28" t="str">
        <x:v>QA</x:v>
      </x:c>
    </x:row>
    <x:row r="29" ht="43" customHeight="1">
      <x:c r="A29" s="28" t="str">
        <x:v>R06-23</x:v>
      </x:c>
      <x:c r="B29" s="28" t="str">
        <x:v>QA/Learning Research</x:v>
      </x:c>
      <x:c r="C29" s="28" t="str">
        <x:v>مهام مجدولة افتراضية</x:v>
      </x:c>
      <x:c r="D29" s="28" t="str">
        <x:v>15 نوفمبر: اختبار وتوثيق وتسليم</x:v>
      </x:c>
      <x:c r="E29" s="28" t="str">
        <x:v>50+ حالة QA ومقاييس حقيقية</x:v>
      </x:c>
      <x:c r="F29" s="28" t="str">
        <x:v>6</x:v>
      </x:c>
      <x:c r="G29" s="28" t="str">
        <x:v>غير محدد</x:v>
      </x:c>
      <x:c r="H29" s="28" t="str">
        <x:v>QA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31" hidden="0" customWidth="1"/>
    <x:col min="4" max="4" width="77" hidden="0" customWidth="1"/>
    <x:col min="5" max="5" width="69" hidden="0" customWidth="1"/>
    <x:col min="6" max="6" width="20" hidden="0" customWidth="1"/>
    <x:col min="7" max="7" width="13" hidden="0" customWidth="1"/>
    <x:col min="8" max="8" width="20" hidden="0" customWidth="1"/>
    <x:col min="9" max="9" width="30" hidden="0" customWidth="1"/>
  </x:cols>
  <x:sheetData>
    <x:row r="1" ht="38" customHeight="1">
      <x:c r="A1" s="4" t="str">
        <x:v>الاختبارات</x:v>
      </x:c>
      <x:c r="B1" s="4"/>
      <x:c r="C1" s="4"/>
      <x:c r="D1" s="4"/>
      <x:c r="E1" s="4"/>
      <x:c r="F1" s="4"/>
      <x:c r="G1" s="4"/>
      <x:c r="H1" s="4"/>
      <x:c r="I1" s="4"/>
    </x:row>
    <x:row r="2" ht="29" customHeight="1">
      <x:c r="A2" s="10" t="str">
        <x:v>اختبار قبول قابل للتعبئة؛ لا تعتبر أي حالة ناجحة حتى يتم تنفيذها ورصد النتيجة</x:v>
      </x:c>
      <x:c r="B2" s="10"/>
      <x:c r="C2" s="10"/>
      <x:c r="D2" s="10"/>
      <x:c r="E2" s="10"/>
      <x:c r="F2" s="10"/>
      <x:c r="G2" s="10"/>
      <x:c r="H2" s="10"/>
      <x:c r="I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  <x:c r="H3" s="15"/>
      <x:c r="I3" s="15"/>
    </x:row>
    <x:row r="5" ht="34" customHeight="1">
      <x:c r="A5" s="21" t="str">
        <x:v>ID</x:v>
      </x:c>
      <x:c r="B5" s="21" t="str">
        <x:v>الفئة</x:v>
      </x:c>
      <x:c r="C5" s="21" t="str">
        <x:v>السيناريو</x:v>
      </x:c>
      <x:c r="D5" s="21" t="str">
        <x:v>الخطوات</x:v>
      </x:c>
      <x:c r="E5" s="21" t="str">
        <x:v>النتيجة المتوقعة</x:v>
      </x:c>
      <x:c r="F5" s="21" t="str">
        <x:v>الحالة</x:v>
      </x:c>
      <x:c r="G5" s="21" t="str">
        <x:v>الأولوية</x:v>
      </x:c>
      <x:c r="H5" s="21" t="str">
        <x:v>المرجع</x:v>
      </x:c>
      <x:c r="I5" s="21" t="str">
        <x:v>رابط الدليل</x:v>
      </x:c>
    </x:row>
    <x:row r="6" ht="43" customHeight="1">
      <x:c r="A6" s="28" t="str">
        <x:v>TC001</x:v>
      </x:c>
      <x:c r="B6" s="28" t="str">
        <x:v>أهلية</x:v>
      </x:c>
      <x:c r="C6" s="28" t="str">
        <x:v>النسخ السابقة</x:v>
      </x:c>
      <x:c r="D6" s="28" t="str">
        <x:v>الحصول على رد مكتوب</x:v>
      </x:c>
      <x:c r="E6" s="28" t="str">
        <x:v>لا تستخدم دون قبول</x:v>
      </x:c>
      <x:c r="F6" s="28" t="str">
        <x:v>لم يبدأ</x:v>
      </x:c>
      <x:c r="G6" s="28" t="str">
        <x:v>حرج</x:v>
      </x:c>
      <x:c r="H6" s="28" t="str">
        <x:v>S03</x:v>
      </x:c>
      <x:c r="I6" s="28" t="str"/>
    </x:row>
    <x:row r="7" ht="43" customHeight="1">
      <x:c r="A7" s="28" t="str">
        <x:v>TC002</x:v>
      </x:c>
      <x:c r="B7" s="28" t="str">
        <x:v>بداية</x:v>
      </x:c>
      <x:c r="C7" s="28" t="str">
        <x:v>بدء جديد</x:v>
      </x:c>
      <x:c r="D7" s="28" t="str">
        <x:v>افتح ملف اللعبة واضغط Start</x:v>
      </x:c>
      <x:c r="E7" s="28" t="str">
        <x:v>لا خطأ JS / لا شاشة فارغة</x:v>
      </x:c>
      <x:c r="F7" s="28" t="str">
        <x:v>لم يبدأ</x:v>
      </x:c>
      <x:c r="G7" s="28" t="str">
        <x:v>حرج</x:v>
      </x:c>
      <x:c r="H7" s="28" t="str">
        <x:v>README</x:v>
      </x:c>
      <x:c r="I7" s="28" t="str"/>
    </x:row>
    <x:row r="8" ht="43" customHeight="1">
      <x:c r="A8" s="28" t="str">
        <x:v>TC003</x:v>
      </x:c>
      <x:c r="B8" s="28" t="str">
        <x:v>بداية</x:v>
      </x:c>
      <x:c r="C8" s="28" t="str">
        <x:v>إعادة تحميل</x:v>
      </x:c>
      <x:c r="D8" s="28" t="str">
        <x:v>reload أثناء المدخل</x:v>
      </x:c>
      <x:c r="E8" s="28" t="str">
        <x:v>لا فشل</x:v>
      </x:c>
      <x:c r="F8" s="28" t="str">
        <x:v>لم يبدأ</x:v>
      </x:c>
      <x:c r="G8" s="28" t="str">
        <x:v>P0</x:v>
      </x:c>
      <x:c r="H8" s="28" t="str">
        <x:v>Architecture</x:v>
      </x:c>
      <x:c r="I8" s="28" t="str"/>
    </x:row>
    <x:row r="9" ht="43" customHeight="1">
      <x:c r="A9" s="28" t="str">
        <x:v>TC004</x:v>
      </x:c>
      <x:c r="B9" s="28" t="str">
        <x:v>بداية</x:v>
      </x:c>
      <x:c r="C9" s="28" t="str">
        <x:v>اللغة عربية</x:v>
      </x:c>
      <x:c r="D9" s="28" t="str">
        <x:v>بدل للعربية عند البداية</x:v>
      </x:c>
      <x:c r="E9" s="28" t="str">
        <x:v>كل عناصر الواجهة مناسبة RTL</x:v>
      </x:c>
      <x:c r="F9" s="28" t="str">
        <x:v>لم يبدأ</x:v>
      </x:c>
      <x:c r="G9" s="28" t="str">
        <x:v>P0</x:v>
      </x:c>
      <x:c r="H9" s="28" t="str">
        <x:v>UX11</x:v>
      </x:c>
      <x:c r="I9" s="28" t="str"/>
    </x:row>
    <x:row r="10" ht="43" customHeight="1">
      <x:c r="A10" s="28" t="str">
        <x:v>TC005</x:v>
      </x:c>
      <x:c r="B10" s="28" t="str">
        <x:v>بداية</x:v>
      </x:c>
      <x:c r="C10" s="28" t="str">
        <x:v>اللغة إنجليزية</x:v>
      </x:c>
      <x:c r="D10" s="28" t="str">
        <x:v>ارجع للإنجليزية</x:v>
      </x:c>
      <x:c r="E10" s="28" t="str">
        <x:v>لا فساد السجل</x:v>
      </x:c>
      <x:c r="F10" s="28" t="str">
        <x:v>لم يبدأ</x:v>
      </x:c>
      <x:c r="G10" s="28" t="str">
        <x:v>P0</x:v>
      </x:c>
      <x:c r="H10" s="28" t="str">
        <x:v>UX11</x:v>
      </x:c>
      <x:c r="I10" s="28" t="str"/>
    </x:row>
    <x:row r="11" ht="43" customHeight="1">
      <x:c r="A11" s="28" t="str">
        <x:v>TC006</x:v>
      </x:c>
      <x:c r="B11" s="28" t="str">
        <x:v>قمر</x:v>
      </x:c>
      <x:c r="C11" s="28" t="str">
        <x:v>حركة W</x:v>
      </x:c>
      <x:c r="D11" s="28" t="str">
        <x:v>اضغط 3 ثوان</x:v>
      </x:c>
      <x:c r="E11" s="28" t="str">
        <x:v>يتحرك اللاعب</x:v>
      </x:c>
      <x:c r="F11" s="28" t="str">
        <x:v>لم يبدأ</x:v>
      </x:c>
      <x:c r="G11" s="28" t="str">
        <x:v>P0</x:v>
      </x:c>
      <x:c r="H11" s="28" t="str">
        <x:v>PZ01</x:v>
      </x:c>
      <x:c r="I11" s="28" t="str"/>
    </x:row>
    <x:row r="12" ht="43" customHeight="1">
      <x:c r="A12" s="28" t="str">
        <x:v>TC007</x:v>
      </x:c>
      <x:c r="B12" s="28" t="str">
        <x:v>قمر</x:v>
      </x:c>
      <x:c r="C12" s="28" t="str">
        <x:v>حركة D</x:v>
      </x:c>
      <x:c r="D12" s="28" t="str">
        <x:v>اضغط 3 ثوان</x:v>
      </x:c>
      <x:c r="E12" s="28" t="str">
        <x:v>الاتجاه صحيح</x:v>
      </x:c>
      <x:c r="F12" s="28" t="str">
        <x:v>لم يبدأ</x:v>
      </x:c>
      <x:c r="G12" s="28" t="str">
        <x:v>P0</x:v>
      </x:c>
      <x:c r="H12" s="28" t="str">
        <x:v>PZ01</x:v>
      </x:c>
      <x:c r="I12" s="28" t="str"/>
    </x:row>
    <x:row r="13" ht="43" customHeight="1">
      <x:c r="A13" s="28" t="str">
        <x:v>TC008</x:v>
      </x:c>
      <x:c r="B13" s="28" t="str">
        <x:v>قمر</x:v>
      </x:c>
      <x:c r="C13" s="28" t="str">
        <x:v>فحص بعيد</x:v>
      </x:c>
      <x:c r="D13" s="28" t="str">
        <x:v>اضغط E بعيدًا</x:v>
      </x:c>
      <x:c r="E13" s="28" t="str">
        <x:v>لا يجمع شيئًا من بعيد</x:v>
      </x:c>
      <x:c r="F13" s="28" t="str">
        <x:v>لم يبدأ</x:v>
      </x:c>
      <x:c r="G13" s="28" t="str">
        <x:v>P0</x:v>
      </x:c>
      <x:c r="H13" s="28" t="str">
        <x:v>PZ01</x:v>
      </x:c>
      <x:c r="I13" s="28" t="str"/>
    </x:row>
    <x:row r="14" ht="43" customHeight="1">
      <x:c r="A14" s="28" t="str">
        <x:v>TC009</x:v>
      </x:c>
      <x:c r="B14" s="28" t="str">
        <x:v>قمر</x:v>
      </x:c>
      <x:c r="C14" s="28" t="str">
        <x:v>فحص قريب</x:v>
      </x:c>
      <x:c r="D14" s="28" t="str">
        <x:v>اضغط E قرب سجل</x:v>
      </x:c>
      <x:c r="E14" s="28" t="str">
        <x:v>يضاف دليل واحد</x:v>
      </x:c>
      <x:c r="F14" s="28" t="str">
        <x:v>لم يبدأ</x:v>
      </x:c>
      <x:c r="G14" s="28" t="str">
        <x:v>حرج</x:v>
      </x:c>
      <x:c r="H14" s="28" t="str">
        <x:v>PZ01</x:v>
      </x:c>
      <x:c r="I14" s="28" t="str"/>
    </x:row>
    <x:row r="15" ht="43" customHeight="1">
      <x:c r="A15" s="28" t="str">
        <x:v>TC010</x:v>
      </x:c>
      <x:c r="B15" s="28" t="str">
        <x:v>قمر</x:v>
      </x:c>
      <x:c r="C15" s="28" t="str">
        <x:v>جمع مكرر</x:v>
      </x:c>
      <x:c r="D15" s="28" t="str">
        <x:v>اضغط E مرتين على سجل</x:v>
      </x:c>
      <x:c r="E15" s="28" t="str">
        <x:v>لا نقاط متكررة</x:v>
      </x:c>
      <x:c r="F15" s="28" t="str">
        <x:v>لم يبدأ</x:v>
      </x:c>
      <x:c r="G15" s="28" t="str">
        <x:v>P0</x:v>
      </x:c>
      <x:c r="H15" s="28" t="str">
        <x:v>XP</x:v>
      </x:c>
      <x:c r="I15" s="28" t="str"/>
    </x:row>
    <x:row r="16" ht="43" customHeight="1">
      <x:c r="A16" s="28" t="str">
        <x:v>TC011</x:v>
      </x:c>
      <x:c r="B16" s="28" t="str">
        <x:v>قمر</x:v>
      </x:c>
      <x:c r="C16" s="28" t="str">
        <x:v>بوابة مبكرة</x:v>
      </x:c>
      <x:c r="D16" s="28" t="str">
        <x:v>افتح اللوحة بدليل واحد</x:v>
      </x:c>
      <x:c r="E16" s="28" t="str">
        <x:v>لا تتجاوز شرط 3</x:v>
      </x:c>
      <x:c r="F16" s="28" t="str">
        <x:v>لم يبدأ</x:v>
      </x:c>
      <x:c r="G16" s="28" t="str">
        <x:v>P0</x:v>
      </x:c>
      <x:c r="H16" s="28" t="str">
        <x:v>PZ02</x:v>
      </x:c>
      <x:c r="I16" s="28" t="str"/>
    </x:row>
    <x:row r="17" ht="43" customHeight="1">
      <x:c r="A17" s="28" t="str">
        <x:v>TC012</x:v>
      </x:c>
      <x:c r="B17" s="28" t="str">
        <x:v>قمر</x:v>
      </x:c>
      <x:c r="C17" s="28" t="str">
        <x:v>دائرة</x:v>
      </x:c>
      <x:c r="D17" s="28" t="str">
        <x:v>دوّر قطع مسار صحيح</x:v>
      </x:c>
      <x:c r="E17" s="28" t="str">
        <x:v>تنتقل للربط</x:v>
      </x:c>
      <x:c r="F17" s="28" t="str">
        <x:v>لم يبدأ</x:v>
      </x:c>
      <x:c r="G17" s="28" t="str">
        <x:v>حرج</x:v>
      </x:c>
      <x:c r="H17" s="28" t="str">
        <x:v>PZ02</x:v>
      </x:c>
      <x:c r="I17" s="28" t="str"/>
    </x:row>
    <x:row r="18" ht="43" customHeight="1">
      <x:c r="A18" s="28" t="str">
        <x:v>TC013</x:v>
      </x:c>
      <x:c r="B18" s="28" t="str">
        <x:v>قمر</x:v>
      </x:c>
      <x:c r="C18" s="28" t="str">
        <x:v>دائرة خاطئة</x:v>
      </x:c>
      <x:c r="D18" s="28" t="str">
        <x:v>دوران غير متصل</x:v>
      </x:c>
      <x:c r="E18" s="28" t="str">
        <x:v>لا قبول عشوائي</x:v>
      </x:c>
      <x:c r="F18" s="28" t="str">
        <x:v>لم يبدأ</x:v>
      </x:c>
      <x:c r="G18" s="28" t="str">
        <x:v>P0</x:v>
      </x:c>
      <x:c r="H18" s="28" t="str">
        <x:v>PZ02</x:v>
      </x:c>
      <x:c r="I18" s="28" t="str"/>
    </x:row>
    <x:row r="19" ht="43" customHeight="1">
      <x:c r="A19" s="28" t="str">
        <x:v>TC014</x:v>
      </x:c>
      <x:c r="B19" s="28" t="str">
        <x:v>قمر</x:v>
      </x:c>
      <x:c r="C19" s="28" t="str">
        <x:v>ربط خاطئ</x:v>
      </x:c>
      <x:c r="D19" s="28" t="str">
        <x:v>اختر نتيجة خاطئة</x:v>
      </x:c>
      <x:c r="E19" s="28" t="str">
        <x:v>تفسير/خصم محدود</x:v>
      </x:c>
      <x:c r="F19" s="28" t="str">
        <x:v>لم يبدأ</x:v>
      </x:c>
      <x:c r="G19" s="28" t="str">
        <x:v>P0</x:v>
      </x:c>
      <x:c r="H19" s="28" t="str">
        <x:v>PZ03</x:v>
      </x:c>
      <x:c r="I19" s="28" t="str"/>
    </x:row>
    <x:row r="20" ht="43" customHeight="1">
      <x:c r="A20" s="28" t="str">
        <x:v>TC015</x:v>
      </x:c>
      <x:c r="B20" s="28" t="str">
        <x:v>قمر</x:v>
      </x:c>
      <x:c r="C20" s="28" t="str">
        <x:v>ربط صحيح</x:v>
      </x:c>
      <x:c r="D20" s="28" t="str">
        <x:v>أكمل 3 روابط</x:v>
      </x:c>
      <x:c r="E20" s="28" t="str">
        <x:v>تفتح المسارات</x:v>
      </x:c>
      <x:c r="F20" s="28" t="str">
        <x:v>لم يبدأ</x:v>
      </x:c>
      <x:c r="G20" s="28" t="str">
        <x:v>حرج</x:v>
      </x:c>
      <x:c r="H20" s="28" t="str">
        <x:v>PZ03</x:v>
      </x:c>
      <x:c r="I20" s="28" t="str"/>
    </x:row>
    <x:row r="21" ht="43" customHeight="1">
      <x:c r="A21" s="28" t="str">
        <x:v>TC016</x:v>
      </x:c>
      <x:c r="B21" s="28" t="str">
        <x:v>قمر</x:v>
      </x:c>
      <x:c r="C21" s="28" t="str">
        <x:v>مسار آمن</x:v>
      </x:c>
      <x:c r="D21" s="28" t="str">
        <x:v>اختيار safe</x:v>
      </x:c>
      <x:c r="E21" s="28" t="str">
        <x:v>يعمل ويمكن الوصول</x:v>
      </x:c>
      <x:c r="F21" s="28" t="str">
        <x:v>لم يبدأ</x:v>
      </x:c>
      <x:c r="G21" s="28" t="str">
        <x:v>P0</x:v>
      </x:c>
      <x:c r="H21" s="28" t="str">
        <x:v>PZ04</x:v>
      </x:c>
      <x:c r="I21" s="28" t="str"/>
    </x:row>
    <x:row r="22" ht="43" customHeight="1">
      <x:c r="A22" s="28" t="str">
        <x:v>TC017</x:v>
      </x:c>
      <x:c r="B22" s="28" t="str">
        <x:v>قمر</x:v>
      </x:c>
      <x:c r="C22" s="28" t="str">
        <x:v>مسار تلال</x:v>
      </x:c>
      <x:c r="D22" s="28" t="str">
        <x:v>اختيار ridge</x:v>
      </x:c>
      <x:c r="E22" s="28" t="str">
        <x:v>يعمل ويمكن الوصول</x:v>
      </x:c>
      <x:c r="F22" s="28" t="str">
        <x:v>لم يبدأ</x:v>
      </x:c>
      <x:c r="G22" s="28" t="str">
        <x:v>P0</x:v>
      </x:c>
      <x:c r="H22" s="28" t="str">
        <x:v>PZ04</x:v>
      </x:c>
      <x:c r="I22" s="28" t="str"/>
    </x:row>
    <x:row r="23" ht="43" customHeight="1">
      <x:c r="A23" s="28" t="str">
        <x:v>TC018</x:v>
      </x:c>
      <x:c r="B23" s="28" t="str">
        <x:v>قمر</x:v>
      </x:c>
      <x:c r="C23" s="28" t="str">
        <x:v>مسار علم</x:v>
      </x:c>
      <x:c r="D23" s="28" t="str">
        <x:v>اختيار science</x:v>
      </x:c>
      <x:c r="E23" s="28" t="str">
        <x:v>يعمل ويمكن الوصول</x:v>
      </x:c>
      <x:c r="F23" s="28" t="str">
        <x:v>لم يبدأ</x:v>
      </x:c>
      <x:c r="G23" s="28" t="str">
        <x:v>P0</x:v>
      </x:c>
      <x:c r="H23" s="28" t="str">
        <x:v>PZ04</x:v>
      </x:c>
      <x:c r="I23" s="28" t="str"/>
    </x:row>
    <x:row r="24" ht="43" customHeight="1">
      <x:c r="A24" s="28" t="str">
        <x:v>TC019</x:v>
      </x:c>
      <x:c r="B24" s="28" t="str">
        <x:v>قمر</x:v>
      </x:c>
      <x:c r="C24" s="28" t="str">
        <x:v>قيادة</x:v>
      </x:c>
      <x:c r="D24" s="28" t="str">
        <x:v>اضغط W</x:v>
      </x:c>
      <x:c r="E24" s="28" t="str">
        <x:v>تسارع واضح</x:v>
      </x:c>
      <x:c r="F24" s="28" t="str">
        <x:v>لم يبدأ</x:v>
      </x:c>
      <x:c r="G24" s="28" t="str">
        <x:v>P0</x:v>
      </x:c>
      <x:c r="H24" s="28" t="str">
        <x:v>PZ05</x:v>
      </x:c>
      <x:c r="I24" s="28" t="str"/>
    </x:row>
    <x:row r="25" ht="43" customHeight="1">
      <x:c r="A25" s="28" t="str">
        <x:v>TC020</x:v>
      </x:c>
      <x:c r="B25" s="28" t="str">
        <x:v>قمر</x:v>
      </x:c>
      <x:c r="C25" s="28" t="str">
        <x:v>فرامل</x:v>
      </x:c>
      <x:c r="D25" s="28" t="str">
        <x:v>اضغط S</x:v>
      </x:c>
      <x:c r="E25" s="28" t="str">
        <x:v>انخفاض السرعة</x:v>
      </x:c>
      <x:c r="F25" s="28" t="str">
        <x:v>لم يبدأ</x:v>
      </x:c>
      <x:c r="G25" s="28" t="str">
        <x:v>P0</x:v>
      </x:c>
      <x:c r="H25" s="28" t="str">
        <x:v>PZ05</x:v>
      </x:c>
      <x:c r="I25" s="28" t="str"/>
    </x:row>
    <x:row r="26" ht="43" customHeight="1">
      <x:c r="A26" s="28" t="str">
        <x:v>TC021</x:v>
      </x:c>
      <x:c r="B26" s="28" t="str">
        <x:v>قمر</x:v>
      </x:c>
      <x:c r="C26" s="28" t="str">
        <x:v>تصادم</x:v>
      </x:c>
      <x:c r="D26" s="28" t="str">
        <x:v>اصطدم بصخرة</x:v>
      </x:c>
      <x:c r="E26" s="28" t="str">
        <x:v>لا دخول صامت عبر صخرة</x:v>
      </x:c>
      <x:c r="F26" s="28" t="str">
        <x:v>لم يبدأ</x:v>
      </x:c>
      <x:c r="G26" s="28" t="str">
        <x:v>حرج</x:v>
      </x:c>
      <x:c r="H26" s="28" t="str">
        <x:v>PZ05</x:v>
      </x:c>
      <x:c r="I26" s="28" t="str"/>
    </x:row>
    <x:row r="27" ht="43" customHeight="1">
      <x:c r="A27" s="28" t="str">
        <x:v>TC022</x:v>
      </x:c>
      <x:c r="B27" s="28" t="str">
        <x:v>قمر</x:v>
      </x:c>
      <x:c r="C27" s="28" t="str">
        <x:v>استعادة</x:v>
      </x:c>
      <x:c r="D27" s="28" t="str">
        <x:v>اضغط R</x:v>
      </x:c>
      <x:c r="E27" s="28" t="str">
        <x:v>عودة سليمة ونقاط محدودة</x:v>
      </x:c>
      <x:c r="F27" s="28" t="str">
        <x:v>لم يبدأ</x:v>
      </x:c>
      <x:c r="G27" s="28" t="str">
        <x:v>P0</x:v>
      </x:c>
      <x:c r="H27" s="28" t="str">
        <x:v>PZ05</x:v>
      </x:c>
      <x:c r="I27" s="28" t="str"/>
    </x:row>
    <x:row r="28" ht="43" customHeight="1">
      <x:c r="A28" s="28" t="str">
        <x:v>TC023</x:v>
      </x:c>
      <x:c r="B28" s="28" t="str">
        <x:v>قمر</x:v>
      </x:c>
      <x:c r="C28" s="28" t="str">
        <x:v>حزمة 1</x:v>
      </x:c>
      <x:c r="D28" s="28" t="str">
        <x:v>قف قرب cache ثم E</x:v>
      </x:c>
      <x:c r="E28" s="28" t="str">
        <x:v>1/3 صحيح</x:v>
      </x:c>
      <x:c r="F28" s="28" t="str">
        <x:v>لم يبدأ</x:v>
      </x:c>
      <x:c r="G28" s="28" t="str">
        <x:v>P0</x:v>
      </x:c>
      <x:c r="H28" s="28" t="str">
        <x:v>PZ06</x:v>
      </x:c>
      <x:c r="I28" s="28" t="str"/>
    </x:row>
    <x:row r="29" ht="43" customHeight="1">
      <x:c r="A29" s="28" t="str">
        <x:v>TC024</x:v>
      </x:c>
      <x:c r="B29" s="28" t="str">
        <x:v>قمر</x:v>
      </x:c>
      <x:c r="C29" s="28" t="str">
        <x:v>حزمة 2</x:v>
      </x:c>
      <x:c r="D29" s="28" t="str">
        <x:v>كرر ثانيا</x:v>
      </x:c>
      <x:c r="E29" s="28" t="str">
        <x:v>2/3 صحيح</x:v>
      </x:c>
      <x:c r="F29" s="28" t="str">
        <x:v>لم يبدأ</x:v>
      </x:c>
      <x:c r="G29" s="28" t="str">
        <x:v>P0</x:v>
      </x:c>
      <x:c r="H29" s="28" t="str">
        <x:v>PZ06</x:v>
      </x:c>
      <x:c r="I29" s="28" t="str"/>
    </x:row>
    <x:row r="30" ht="43" customHeight="1">
      <x:c r="A30" s="28" t="str">
        <x:v>TC025</x:v>
      </x:c>
      <x:c r="B30" s="28" t="str">
        <x:v>قمر</x:v>
      </x:c>
      <x:c r="C30" s="28" t="str">
        <x:v>حزمة 3</x:v>
      </x:c>
      <x:c r="D30" s="28" t="str">
        <x:v>كرر ثالثا</x:v>
      </x:c>
      <x:c r="E30" s="28" t="str">
        <x:v>3/3 صحيح</x:v>
      </x:c>
      <x:c r="F30" s="28" t="str">
        <x:v>لم يبدأ</x:v>
      </x:c>
      <x:c r="G30" s="28" t="str">
        <x:v>P0</x:v>
      </x:c>
      <x:c r="H30" s="28" t="str">
        <x:v>PZ06</x:v>
      </x:c>
      <x:c r="I30" s="28" t="str"/>
    </x:row>
    <x:row r="31" ht="43" customHeight="1">
      <x:c r="A31" s="28" t="str">
        <x:v>TC026</x:v>
      </x:c>
      <x:c r="B31" s="28" t="str">
        <x:v>قمر</x:v>
      </x:c>
      <x:c r="C31" s="28" t="str">
        <x:v>المنارة مبكرًا</x:v>
      </x:c>
      <x:c r="D31" s="28" t="str">
        <x:v>بلوغ نهاية دون 3</x:v>
      </x:c>
      <x:c r="E31" s="28" t="str">
        <x:v>لا فتح مبكر ولا انسداد</x:v>
      </x:c>
      <x:c r="F31" s="28" t="str">
        <x:v>لم يبدأ</x:v>
      </x:c>
      <x:c r="G31" s="28" t="str">
        <x:v>حرج</x:v>
      </x:c>
      <x:c r="H31" s="28" t="str">
        <x:v>PZ06</x:v>
      </x:c>
      <x:c r="I31" s="28" t="str"/>
    </x:row>
    <x:row r="32" ht="43" customHeight="1">
      <x:c r="A32" s="28" t="str">
        <x:v>TC027</x:v>
      </x:c>
      <x:c r="B32" s="28" t="str">
        <x:v>قمر</x:v>
      </x:c>
      <x:c r="C32" s="28" t="str">
        <x:v>تصنيف</x:v>
      </x:c>
      <x:c r="D32" s="28" t="str">
        <x:v>3 اختيارات صحيحة</x:v>
      </x:c>
      <x:c r="E32" s="28" t="str">
        <x:v>يفتح المعمل</x:v>
      </x:c>
      <x:c r="F32" s="28" t="str">
        <x:v>لم يبدأ</x:v>
      </x:c>
      <x:c r="G32" s="28" t="str">
        <x:v>P0</x:v>
      </x:c>
      <x:c r="H32" s="28" t="str">
        <x:v>PZ07</x:v>
      </x:c>
      <x:c r="I32" s="28" t="str"/>
    </x:row>
    <x:row r="33" ht="43" customHeight="1">
      <x:c r="A33" s="28" t="str">
        <x:v>TC028</x:v>
      </x:c>
      <x:c r="B33" s="28" t="str">
        <x:v>قمر</x:v>
      </x:c>
      <x:c r="C33" s="28" t="str">
        <x:v>وحدة خاطئة</x:v>
      </x:c>
      <x:c r="D33" s="28" t="str">
        <x:v>range invalid</x:v>
      </x:c>
      <x:c r="E33" s="28" t="str">
        <x:v>لا رقم سالب</x:v>
      </x:c>
      <x:c r="F33" s="28" t="str">
        <x:v>لم يبدأ</x:v>
      </x:c>
      <x:c r="G33" s="28" t="str">
        <x:v>حرج</x:v>
      </x:c>
      <x:c r="H33" s="28" t="str">
        <x:v>SIM01</x:v>
      </x:c>
      <x:c r="I33" s="28" t="str"/>
    </x:row>
    <x:row r="34" ht="43" customHeight="1">
      <x:c r="A34" s="28" t="str">
        <x:v>TC029</x:v>
      </x:c>
      <x:c r="B34" s="28" t="str">
        <x:v>قمر</x:v>
      </x:c>
      <x:c r="C34" s="28" t="str">
        <x:v>v=0</x:v>
      </x:c>
      <x:c r="D34" s="28" t="str">
        <x:v>تجربة speed zero</x:v>
      </x:c>
      <x:c r="E34" s="28" t="str">
        <x:v>رفض قسمة على صفر</x:v>
      </x:c>
      <x:c r="F34" s="28" t="str">
        <x:v>لم يبدأ</x:v>
      </x:c>
      <x:c r="G34" s="28" t="str">
        <x:v>حرج</x:v>
      </x:c>
      <x:c r="H34" s="28" t="str">
        <x:v>SIM01</x:v>
      </x:c>
      <x:c r="I34" s="28" t="str"/>
    </x:row>
    <x:row r="35" ht="43" customHeight="1">
      <x:c r="A35" s="28" t="str">
        <x:v>TC030</x:v>
      </x:c>
      <x:c r="B35" s="28" t="str">
        <x:v>قمر</x:v>
      </x:c>
      <x:c r="C35" s="28" t="str">
        <x:v>distance=0</x:v>
      </x:c>
      <x:c r="D35" s="28" t="str">
        <x:v>تجربة صفر مسافة</x:v>
      </x:c>
      <x:c r="E35" s="28" t="str">
        <x:v>زمن صفر</x:v>
      </x:c>
      <x:c r="F35" s="28" t="str">
        <x:v>لم يبدأ</x:v>
      </x:c>
      <x:c r="G35" s="28" t="str">
        <x:v>P0</x:v>
      </x:c>
      <x:c r="H35" s="28" t="str">
        <x:v>SIM01</x:v>
      </x:c>
      <x:c r="I35" s="28" t="str"/>
    </x:row>
    <x:row r="36" ht="43" customHeight="1">
      <x:c r="A36" s="28" t="str">
        <x:v>TC031</x:v>
      </x:c>
      <x:c r="B36" s="28" t="str">
        <x:v>قمر</x:v>
      </x:c>
      <x:c r="C36" s="28" t="str">
        <x:v>قيمة كسرية</x:v>
      </x:c>
      <x:c r="D36" s="28" t="str">
        <x:v>سرعة decimal</x:v>
      </x:c>
      <x:c r="E36" s="28" t="str">
        <x:v>قيمة صحيحة</x:v>
      </x:c>
      <x:c r="F36" s="28" t="str">
        <x:v>لم يبدأ</x:v>
      </x:c>
      <x:c r="G36" s="28" t="str">
        <x:v>P0</x:v>
      </x:c>
      <x:c r="H36" s="28" t="str">
        <x:v>SIM01</x:v>
      </x:c>
      <x:c r="I36" s="28" t="str"/>
    </x:row>
    <x:row r="37" ht="43" customHeight="1">
      <x:c r="A37" s="28" t="str">
        <x:v>TC032</x:v>
      </x:c>
      <x:c r="B37" s="28" t="str">
        <x:v>قمر</x:v>
      </x:c>
      <x:c r="C37" s="28" t="str">
        <x:v>الحساب</x:v>
      </x:c>
      <x:c r="D37" s="28" t="str">
        <x:v>1200m / 6kmh</x:v>
      </x:c>
      <x:c r="E37" s="28" t="str">
        <x:v>12 دقيقة</x:v>
      </x:c>
      <x:c r="F37" s="28" t="str">
        <x:v>لم يبدأ</x:v>
      </x:c>
      <x:c r="G37" s="28" t="str">
        <x:v>حرج</x:v>
      </x:c>
      <x:c r="H37" s="28" t="str">
        <x:v>SIM01</x:v>
      </x:c>
      <x:c r="I37" s="28" t="str"/>
    </x:row>
    <x:row r="38" ht="43" customHeight="1">
      <x:c r="A38" s="28" t="str">
        <x:v>TC033</x:v>
      </x:c>
      <x:c r="B38" s="28" t="str">
        <x:v>قمر</x:v>
      </x:c>
      <x:c r="C38" s="28" t="str">
        <x:v>استنتاج خاطئ</x:v>
      </x:c>
      <x:c r="D38" s="28" t="str">
        <x:v>اختر claim false</x:v>
      </x:c>
      <x:c r="E38" s="28" t="str">
        <x:v>إعادة بتلميح</x:v>
      </x:c>
      <x:c r="F38" s="28" t="str">
        <x:v>لم يبدأ</x:v>
      </x:c>
      <x:c r="G38" s="28" t="str">
        <x:v>P0</x:v>
      </x:c>
      <x:c r="H38" s="28" t="str">
        <x:v>PZ09</x:v>
      </x:c>
      <x:c r="I38" s="28" t="str"/>
    </x:row>
    <x:row r="39" ht="43" customHeight="1">
      <x:c r="A39" s="28" t="str">
        <x:v>TC034</x:v>
      </x:c>
      <x:c r="B39" s="28" t="str">
        <x:v>قمر</x:v>
      </x:c>
      <x:c r="C39" s="28" t="str">
        <x:v>استنتاج صحيح</x:v>
      </x:c>
      <x:c r="D39" s="28" t="str">
        <x:v>اختر claim supported</x:v>
      </x:c>
      <x:c r="E39" s="28" t="str">
        <x:v>متحف + حفظ</x:v>
      </x:c>
      <x:c r="F39" s="28" t="str">
        <x:v>لم يبدأ</x:v>
      </x:c>
      <x:c r="G39" s="28" t="str">
        <x:v>حرج</x:v>
      </x:c>
      <x:c r="H39" s="28" t="str">
        <x:v>PZ09</x:v>
      </x:c>
      <x:c r="I39" s="28" t="str"/>
    </x:row>
    <x:row r="40" ht="43" customHeight="1">
      <x:c r="A40" s="28" t="str">
        <x:v>TC035</x:v>
      </x:c>
      <x:c r="B40" s="28" t="str">
        <x:v>مريخ</x:v>
      </x:c>
      <x:c r="C40" s="28" t="str">
        <x:v>فتح مبكر</x:v>
      </x:c>
      <x:c r="D40" s="28" t="str">
        <x:v>حاول قبل Apollo</x:v>
      </x:c>
      <x:c r="E40" s="28" t="str">
        <x:v>مغلق</x:v>
      </x:c>
      <x:c r="F40" s="28" t="str">
        <x:v>لم يبدأ</x:v>
      </x:c>
      <x:c r="G40" s="28" t="str">
        <x:v>حرج</x:v>
      </x:c>
      <x:c r="H40" s="28" t="str">
        <x:v>PZ10</x:v>
      </x:c>
      <x:c r="I40" s="28" t="str"/>
    </x:row>
    <x:row r="41" ht="43" customHeight="1">
      <x:c r="A41" s="28" t="str">
        <x:v>TC036</x:v>
      </x:c>
      <x:c r="B41" s="28" t="str">
        <x:v>مريخ</x:v>
      </x:c>
      <x:c r="C41" s="28" t="str">
        <x:v>طاقة سالبة</x:v>
      </x:c>
      <x:c r="D41" s="28" t="str">
        <x:v>استهلاك أكبر من مخزون</x:v>
      </x:c>
      <x:c r="E41" s="28" t="str">
        <x:v>لا يسمح بقيمة سالبة</x:v>
      </x:c>
      <x:c r="F41" s="28" t="str">
        <x:v>لم يبدأ</x:v>
      </x:c>
      <x:c r="G41" s="28" t="str">
        <x:v>حرج</x:v>
      </x:c>
      <x:c r="H41" s="28" t="str">
        <x:v>SIM08</x:v>
      </x:c>
      <x:c r="I41" s="28" t="str"/>
    </x:row>
    <x:row r="42" ht="43" customHeight="1">
      <x:c r="A42" s="28" t="str">
        <x:v>TC037</x:v>
      </x:c>
      <x:c r="B42" s="28" t="str">
        <x:v>مريخ</x:v>
      </x:c>
      <x:c r="C42" s="28" t="str">
        <x:v>طاقة زائدة</x:v>
      </x:c>
      <x:c r="D42" s="28" t="str">
        <x:v>شحن أكبر من capacity</x:v>
      </x:c>
      <x:c r="E42" s="28" t="str">
        <x:v>clamp</x:v>
      </x:c>
      <x:c r="F42" s="28" t="str">
        <x:v>لم يبدأ</x:v>
      </x:c>
      <x:c r="G42" s="28" t="str">
        <x:v>حرج</x:v>
      </x:c>
      <x:c r="H42" s="28" t="str">
        <x:v>SIM08</x:v>
      </x:c>
      <x:c r="I42" s="28" t="str"/>
    </x:row>
    <x:row r="43" ht="43" customHeight="1">
      <x:c r="A43" s="28" t="str">
        <x:v>TC038</x:v>
      </x:c>
      <x:c r="B43" s="28" t="str">
        <x:v>مريخ</x:v>
      </x:c>
      <x:c r="C43" s="28" t="str">
        <x:v>غبار 100%</x:v>
      </x:c>
      <x:c r="D43" s="28" t="str">
        <x:v>dust fraction =1</x:v>
      </x:c>
      <x:c r="E43" s="28" t="str">
        <x:v>توليد=0</x:v>
      </x:c>
      <x:c r="F43" s="28" t="str">
        <x:v>لم يبدأ</x:v>
      </x:c>
      <x:c r="G43" s="28" t="str">
        <x:v>P0</x:v>
      </x:c>
      <x:c r="H43" s="28" t="str">
        <x:v>SIM09</x:v>
      </x:c>
      <x:c r="I43" s="28" t="str"/>
    </x:row>
    <x:row r="44" ht="43" customHeight="1">
      <x:c r="A44" s="28" t="str">
        <x:v>TC039</x:v>
      </x:c>
      <x:c r="B44" s="28" t="str">
        <x:v>مريخ</x:v>
      </x:c>
      <x:c r="C44" s="28" t="str">
        <x:v>غبار 0%</x:v>
      </x:c>
      <x:c r="D44" s="28" t="str">
        <x:v>dust fraction=0</x:v>
      </x:c>
      <x:c r="E44" s="28" t="str">
        <x:v>توليد=clear</x:v>
      </x:c>
      <x:c r="F44" s="28" t="str">
        <x:v>لم يبدأ</x:v>
      </x:c>
      <x:c r="G44" s="28" t="str">
        <x:v>P0</x:v>
      </x:c>
      <x:c r="H44" s="28" t="str">
        <x:v>SIM09</x:v>
      </x:c>
      <x:c r="I44" s="28" t="str"/>
    </x:row>
    <x:row r="45" ht="43" customHeight="1">
      <x:c r="A45" s="28" t="str">
        <x:v>TC040</x:v>
      </x:c>
      <x:c r="B45" s="28" t="str">
        <x:v>مريخ</x:v>
      </x:c>
      <x:c r="C45" s="28" t="str">
        <x:v>Sol 1→4</x:v>
      </x:c>
      <x:c r="D45" s="28" t="str">
        <x:v>قرارات يومية</x:v>
      </x:c>
      <x:c r="E45" s="28" t="str">
        <x:v>لا حواجز غير قابلة للحل</x:v>
      </x:c>
      <x:c r="F45" s="28" t="str">
        <x:v>لم يبدأ</x:v>
      </x:c>
      <x:c r="G45" s="28" t="str">
        <x:v>P0</x:v>
      </x:c>
      <x:c r="H45" s="28" t="str">
        <x:v>PZ10</x:v>
      </x:c>
      <x:c r="I45" s="28" t="str"/>
    </x:row>
    <x:row r="46" ht="43" customHeight="1">
      <x:c r="A46" s="28" t="str">
        <x:v>TC041</x:v>
      </x:c>
      <x:c r="B46" s="28" t="str">
        <x:v>مريخ</x:v>
      </x:c>
      <x:c r="C46" s="28" t="str">
        <x:v>شفرة خاطئة</x:v>
      </x:c>
      <x:c r="D46" s="28" t="str">
        <x:v>3 أرقام غير صحيحة</x:v>
      </x:c>
      <x:c r="E46" s="28" t="str">
        <x:v>لا تتجاوز</x:v>
      </x:c>
      <x:c r="F46" s="28" t="str">
        <x:v>لم يبدأ</x:v>
      </x:c>
      <x:c r="G46" s="28" t="str">
        <x:v>P0</x:v>
      </x:c>
      <x:c r="H46" s="28" t="str">
        <x:v>PZ14</x:v>
      </x:c>
      <x:c r="I46" s="28" t="str"/>
    </x:row>
    <x:row r="47" ht="43" customHeight="1">
      <x:c r="A47" s="28" t="str">
        <x:v>TC042</x:v>
      </x:c>
      <x:c r="B47" s="28" t="str">
        <x:v>مريخ</x:v>
      </x:c>
      <x:c r="C47" s="28" t="str">
        <x:v>شفرة صحيحة</x:v>
      </x:c>
      <x:c r="D47" s="28" t="str">
        <x:v>رمز من النتائج</x:v>
      </x:c>
      <x:c r="E47" s="28" t="str">
        <x:v>معرض المريخ</x:v>
      </x:c>
      <x:c r="F47" s="28" t="str">
        <x:v>لم يبدأ</x:v>
      </x:c>
      <x:c r="G47" s="28" t="str">
        <x:v>حرج</x:v>
      </x:c>
      <x:c r="H47" s="28" t="str">
        <x:v>PZ14</x:v>
      </x:c>
      <x:c r="I47" s="28" t="str"/>
    </x:row>
    <x:row r="48" ht="43" customHeight="1">
      <x:c r="A48" s="28" t="str">
        <x:v>TC043</x:v>
      </x:c>
      <x:c r="B48" s="28" t="str">
        <x:v>متحف</x:v>
      </x:c>
      <x:c r="C48" s="28" t="str">
        <x:v>زيارة Apollo</x:v>
      </x:c>
      <x:c r="D48" s="28" t="str">
        <x:v>افتح معرض Apollo</x:v>
      </x:c>
      <x:c r="E48" s="28" t="str">
        <x:v>تاريخ/مصدر موجود</x:v>
      </x:c>
      <x:c r="F48" s="28" t="str">
        <x:v>لم يبدأ</x:v>
      </x:c>
      <x:c r="G48" s="28" t="str">
        <x:v>حرج</x:v>
      </x:c>
      <x:c r="H48" s="28" t="str">
        <x:v>CL01</x:v>
      </x:c>
      <x:c r="I48" s="28" t="str"/>
    </x:row>
    <x:row r="49" ht="43" customHeight="1">
      <x:c r="A49" s="28" t="str">
        <x:v>TC044</x:v>
      </x:c>
      <x:c r="B49" s="28" t="str">
        <x:v>متحف</x:v>
      </x:c>
      <x:c r="C49" s="28" t="str">
        <x:v>زيارة Opportunity</x:v>
      </x:c>
      <x:c r="D49" s="28" t="str">
        <x:v>افتح معرض المريخ</x:v>
      </x:c>
      <x:c r="E49" s="28" t="str">
        <x:v>العامان 2018 و2019 صحيحان</x:v>
      </x:c>
      <x:c r="F49" s="28" t="str">
        <x:v>لم يبدأ</x:v>
      </x:c>
      <x:c r="G49" s="28" t="str">
        <x:v>حرج</x:v>
      </x:c>
      <x:c r="H49" s="28" t="str">
        <x:v>CL12</x:v>
      </x:c>
      <x:c r="I49" s="28" t="str"/>
    </x:row>
    <x:row r="50" ht="43" customHeight="1">
      <x:c r="A50" s="28" t="str">
        <x:v>TC045</x:v>
      </x:c>
      <x:c r="B50" s="28" t="str">
        <x:v>حفظ</x:v>
      </x:c>
      <x:c r="C50" s="28" t="str">
        <x:v>reload بعد دليل</x:v>
      </x:c>
      <x:c r="D50" s="28" t="str">
        <x:v>أغلق وافتح</x:v>
      </x:c>
      <x:c r="E50" s="28" t="str">
        <x:v>الدليل لا يختفي</x:v>
      </x:c>
      <x:c r="F50" s="28" t="str">
        <x:v>لم يبدأ</x:v>
      </x:c>
      <x:c r="G50" s="28" t="str">
        <x:v>حرج</x:v>
      </x:c>
      <x:c r="H50" s="28" t="str">
        <x:v>Persistence</x:v>
      </x:c>
      <x:c r="I50" s="28" t="str"/>
    </x:row>
    <x:row r="51" ht="43" customHeight="1">
      <x:c r="A51" s="28" t="str">
        <x:v>TC046</x:v>
      </x:c>
      <x:c r="B51" s="28" t="str">
        <x:v>حفظ</x:v>
      </x:c>
      <x:c r="C51" s="28" t="str">
        <x:v>reload منتصف مرحلة</x:v>
      </x:c>
      <x:c r="D51" s="28" t="str">
        <x:v>أغلق وافتح</x:v>
      </x:c>
      <x:c r="E51" s="28" t="str">
        <x:v>المرحلة محفوظة أو تستعاد بوضوح</x:v>
      </x:c>
      <x:c r="F51" s="28" t="str">
        <x:v>لم يبدأ</x:v>
      </x:c>
      <x:c r="G51" s="28" t="str">
        <x:v>حرج</x:v>
      </x:c>
      <x:c r="H51" s="28" t="str">
        <x:v>Persistence</x:v>
      </x:c>
      <x:c r="I51" s="28" t="str"/>
    </x:row>
    <x:row r="52" ht="43" customHeight="1">
      <x:c r="A52" s="28" t="str">
        <x:v>TC047</x:v>
      </x:c>
      <x:c r="B52" s="28" t="str">
        <x:v>حفظ</x:v>
      </x:c>
      <x:c r="C52" s="28" t="str">
        <x:v>Reset</x:v>
      </x:c>
      <x:c r="D52" s="28" t="str">
        <x:v>اعتمد إعادة ضبط</x:v>
      </x:c>
      <x:c r="E52" s="28" t="str">
        <x:v>لا مسح دون تأكيد</x:v>
      </x:c>
      <x:c r="F52" s="28" t="str">
        <x:v>لم يبدأ</x:v>
      </x:c>
      <x:c r="G52" s="28" t="str">
        <x:v>P0</x:v>
      </x:c>
      <x:c r="H52" s="28" t="str">
        <x:v>UX19</x:v>
      </x:c>
      <x:c r="I52" s="28" t="str"/>
    </x:row>
    <x:row r="53" ht="43" customHeight="1">
      <x:c r="A53" s="28" t="str">
        <x:v>TC048</x:v>
      </x:c>
      <x:c r="B53" s="28" t="str">
        <x:v>صوت</x:v>
      </x:c>
      <x:c r="C53" s="28" t="str">
        <x:v>Mute</x:v>
      </x:c>
      <x:c r="D53" s="28" t="str">
        <x:v>قم بإيقاف الصوت</x:v>
      </x:c>
      <x:c r="E53" s="28" t="str">
        <x:v>يصبح صامتًا</x:v>
      </x:c>
      <x:c r="F53" s="28" t="str">
        <x:v>لم يبدأ</x:v>
      </x:c>
      <x:c r="G53" s="28" t="str">
        <x:v>P0</x:v>
      </x:c>
      <x:c r="H53" s="28" t="str">
        <x:v>UX10</x:v>
      </x:c>
      <x:c r="I53" s="28" t="str"/>
    </x:row>
    <x:row r="54" ht="43" customHeight="1">
      <x:c r="A54" s="28" t="str">
        <x:v>TC049</x:v>
      </x:c>
      <x:c r="B54" s="28" t="str">
        <x:v>عرض</x:v>
      </x:c>
      <x:c r="C54" s="28" t="str">
        <x:v>5min demo</x:v>
      </x:c>
      <x:c r="D54" s="28" t="str">
        <x:v>مر بكل مشهد حقيقي</x:v>
      </x:c>
      <x:c r="E54" s="28" t="str">
        <x:v>دون نقر مخفي أو خدعة</x:v>
      </x:c>
      <x:c r="F54" s="28" t="str">
        <x:v>لم يبدأ</x:v>
      </x:c>
      <x:c r="G54" s="28" t="str">
        <x:v>حرج</x:v>
      </x:c>
      <x:c r="H54" s="28" t="str">
        <x:v>Demo</x:v>
      </x:c>
      <x:c r="I54" s="28" t="str"/>
    </x:row>
    <x:row r="55" ht="43" customHeight="1">
      <x:c r="A55" s="28" t="str">
        <x:v>TC050</x:v>
      </x:c>
      <x:c r="B55" s="28" t="str">
        <x:v>عرض</x:v>
      </x:c>
      <x:c r="C55" s="28" t="str">
        <x:v>Offline</x:v>
      </x:c>
      <x:c r="D55" s="28" t="str">
        <x:v>افصل WiFi وافتح HTML</x:v>
      </x:c>
      <x:c r="E55" s="28" t="str">
        <x:v>يعمل كاملا</x:v>
      </x:c>
      <x:c r="F55" s="28" t="str">
        <x:v>لم يبدأ</x:v>
      </x:c>
      <x:c r="G55" s="28" t="str">
        <x:v>P0</x:v>
      </x:c>
      <x:c r="H55" s="28" t="str">
        <x:v>Architecture</x:v>
      </x:c>
      <x:c r="I55" s="28" t="str"/>
    </x:row>
    <x:row r="56" ht="43" customHeight="1">
      <x:c r="A56" s="28" t="str">
        <x:v>TC051</x:v>
      </x:c>
      <x:c r="B56" s="28" t="str">
        <x:v>عرض</x:v>
      </x:c>
      <x:c r="C56" s="28" t="str">
        <x:v>نافذة صغيرة</x:v>
      </x:c>
      <x:c r="D56" s="28" t="str">
        <x:v>1366x768</x:v>
      </x:c>
      <x:c r="E56" s="28" t="str">
        <x:v>واجهة مقروءة</x:v>
      </x:c>
      <x:c r="F56" s="28" t="str">
        <x:v>لم يبدأ</x:v>
      </x:c>
      <x:c r="G56" s="28" t="str">
        <x:v>P0</x:v>
      </x:c>
      <x:c r="H56" s="28" t="str">
        <x:v>UX12</x:v>
      </x:c>
      <x:c r="I56" s="28" t="str"/>
    </x:row>
    <x:row r="57" ht="43" customHeight="1">
      <x:c r="A57" s="28" t="str">
        <x:v>TC052</x:v>
      </x:c>
      <x:c r="B57" s="28" t="str">
        <x:v>عرض</x:v>
      </x:c>
      <x:c r="C57" s="28" t="str">
        <x:v>نافذة كبيرة</x:v>
      </x:c>
      <x:c r="D57" s="28" t="str">
        <x:v>1920x1080</x:v>
      </x:c>
      <x:c r="E57" s="28" t="str">
        <x:v>لا تكبير مشوه</x:v>
      </x:c>
      <x:c r="F57" s="28" t="str">
        <x:v>لم يبدأ</x:v>
      </x:c>
      <x:c r="G57" s="28" t="str">
        <x:v>P0</x:v>
      </x:c>
      <x:c r="H57" s="28" t="str">
        <x:v>UX12</x:v>
      </x:c>
      <x:c r="I57" s="28" t="str"/>
    </x:row>
    <x:row r="58" ht="43" customHeight="1">
      <x:c r="A58" s="28" t="str">
        <x:v>TC053</x:v>
      </x:c>
      <x:c r="B58" s="28" t="str">
        <x:v>تاريخ</x:v>
      </x:c>
      <x:c r="C58" s="28" t="str">
        <x:v>خلاف الواقع</x:v>
      </x:c>
      <x:c r="D58" s="28" t="str">
        <x:v>مسارات خيالية</x:v>
      </x:c>
      <x:c r="E58" s="28" t="str">
        <x:v>وسم Simulation</x:v>
      </x:c>
      <x:c r="F58" s="28" t="str">
        <x:v>لم يبدأ</x:v>
      </x:c>
      <x:c r="G58" s="28" t="str">
        <x:v>حرج</x:v>
      </x:c>
      <x:c r="H58" s="28" t="str">
        <x:v>CL05</x:v>
      </x:c>
      <x:c r="I58" s="28" t="str"/>
    </x:row>
    <x:row r="59" ht="43" customHeight="1">
      <x:c r="A59" s="28" t="str">
        <x:v>TC054</x:v>
      </x:c>
      <x:c r="B59" s="28" t="str">
        <x:v>تاريخ</x:v>
      </x:c>
      <x:c r="C59" s="28" t="str">
        <x:v>شعار NASA</x:v>
      </x:c>
      <x:c r="D59" s="28" t="str">
        <x:v>تفحص الصور/الأزرار</x:v>
      </x:c>
      <x:c r="E59" s="28" t="str">
        <x:v>لا توحي بشراكة</x:v>
      </x:c>
      <x:c r="F59" s="28" t="str">
        <x:v>لم يبدأ</x:v>
      </x:c>
      <x:c r="G59" s="28" t="str">
        <x:v>حرج</x:v>
      </x:c>
      <x:c r="H59" s="28" t="str">
        <x:v>S13</x:v>
      </x:c>
      <x:c r="I59" s="28" t="str"/>
    </x:row>
  </x:sheetData>
  <x:mergeCells>
    <x:mergeCell ref="A1:I1"/>
    <x:mergeCell ref="A2:I2"/>
    <x:mergeCell ref="A3:I3"/>
  </x:mergeCells>
  <x:conditionalFormatting sqref="G6:G59">
    <x:cfRule type="expression" dxfId="64" priority="1">
      <x:formula>G6="P0"</x:formula>
    </x:cfRule>
    <x:cfRule type="expression" dxfId="65" priority="2">
      <x:formula>G6="حرج"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20b6240cec42ee"/>
  </x:tableParts>
</x:worksheet>
</file>

<file path=xl/worksheets/sheet2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4" hidden="0" customWidth="1"/>
    <x:col min="3" max="3" width="16" hidden="0" customWidth="1"/>
    <x:col min="4" max="4" width="16" hidden="0" customWidth="1"/>
    <x:col min="5" max="5" width="13" hidden="0" customWidth="1"/>
    <x:col min="6" max="6" width="16" hidden="0" customWidth="1"/>
    <x:col min="7" max="7" width="55" hidden="0" customWidth="1"/>
    <x:col min="8" max="8" width="77" hidden="0" customWidth="1"/>
    <x:col min="9" max="9" width="19" hidden="0" customWidth="1"/>
    <x:col min="10" max="10" width="18" hidden="0" customWidth="1"/>
    <x:col min="11" max="11" width="18" hidden="0" customWidth="1"/>
  </x:cols>
  <x:sheetData>
    <x:row r="1" ht="38" customHeight="1">
      <x:c r="A1" s="4" t="str">
        <x:v>المخاطر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9" customHeight="1">
      <x:c r="A2" s="10" t="str">
        <x:v>30 خطرًا مع احتمالية وأثر تقديريين قابلين للتحرير؛ ليست احتمالات علمية موثقة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5" ht="34" customHeight="1">
      <x:c r="A5" s="21" t="str">
        <x:v>ID</x:v>
      </x:c>
      <x:c r="B5" s="21" t="str">
        <x:v>الخطر</x:v>
      </x:c>
      <x:c r="C5" s="21" t="str">
        <x:v>التصنيف</x:v>
      </x:c>
      <x:c r="D5" s="21" t="str">
        <x:v>احتمال 1–5</x:v>
      </x:c>
      <x:c r="E5" s="21" t="str">
        <x:v>أثر 1–5</x:v>
      </x:c>
      <x:c r="F5" s="21" t="str">
        <x:v>الدرجة P×I</x:v>
      </x:c>
      <x:c r="G5" s="21" t="str">
        <x:v>نتيجة الخطر</x:v>
      </x:c>
      <x:c r="H5" s="21" t="str">
        <x:v>الإجراء الوقائي</x:v>
      </x:c>
      <x:c r="I5" s="21" t="str">
        <x:v>المالك</x:v>
      </x:c>
      <x:c r="J5" s="21" t="str">
        <x:v>الحالة</x:v>
      </x:c>
      <x:c r="K5" s="21" t="str">
        <x:v>المصدر</x:v>
      </x:c>
    </x:row>
    <x:row r="6" ht="43" customHeight="1">
      <x:c r="A6" s="28" t="str">
        <x:v>RK01</x:v>
      </x:c>
      <x:c r="B6" s="28" t="str">
        <x:v>التباس أهلية كود مسبق</x:v>
      </x:c>
      <x:c r="C6" s="28" t="str">
        <x:v>تنظيمي</x:v>
      </x:c>
      <x:c r="D6" s="28" t="n">
        <x:v>5</x:v>
      </x:c>
      <x:c r="E6" s="28" t="n">
        <x:v>5</x:v>
      </x:c>
      <x:c r="F6" s="28" t="n">
        <x:f>D6*E6</x:f>
        <x:v>25</x:v>
      </x:c>
      <x:c r="G6" s="28" t="str">
        <x:v>إلغاء الترشيح</x:v>
      </x:c>
      <x:c r="H6" s="28" t="str">
        <x:v>اسأل المنظم وأوقف إدخال الكود حتى الرد</x:v>
      </x:c>
      <x:c r="I6" s="28" t="str">
        <x:v>قائد المشروع</x:v>
      </x:c>
      <x:c r="J6" s="28" t="str">
        <x:v>مفتوح</x:v>
      </x:c>
      <x:c r="K6" s="28" t="str">
        <x:v>S03</x:v>
      </x:c>
    </x:row>
    <x:row r="7" ht="43" customHeight="1">
      <x:c r="A7" s="28" t="str">
        <x:v>RK02</x:v>
      </x:c>
      <x:c r="B7" s="28" t="str">
        <x:v>موعد تسليم خاطئ</x:v>
      </x:c>
      <x:c r="C7" s="28" t="str">
        <x:v>تنظيمي</x:v>
      </x:c>
      <x:c r="D7" s="28" t="n">
        <x:v>4</x:v>
      </x:c>
      <x:c r="E7" s="28" t="n">
        <x:v>5</x:v>
      </x:c>
      <x:c r="F7" s="28" t="n">
        <x:f>D7*E7</x:f>
        <x:v>20</x:v>
      </x:c>
      <x:c r="G7" s="28" t="str">
        <x:v>عدم تقديم</x:v>
      </x:c>
      <x:c r="H7" s="28" t="str">
        <x:v>ضبط توقيت الفعالية وتذكير داخلي</x:v>
      </x:c>
      <x:c r="I7" s="28" t="str">
        <x:v>قائد المشروع</x:v>
      </x:c>
      <x:c r="J7" s="28" t="str">
        <x:v>مفتوح</x:v>
      </x:c>
      <x:c r="K7" s="28" t="str">
        <x:v>S01</x:v>
      </x:c>
    </x:row>
    <x:row r="8" ht="43" customHeight="1">
      <x:c r="A8" s="28" t="str">
        <x:v>RK03</x:v>
      </x:c>
      <x:c r="B8" s="28" t="str">
        <x:v>نص التحدي تغير</x:v>
      </x:c>
      <x:c r="C8" s="28" t="str">
        <x:v>تنظيمي</x:v>
      </x:c>
      <x:c r="D8" s="28" t="n">
        <x:v>3</x:v>
      </x:c>
      <x:c r="E8" s="28" t="n">
        <x:v>4</x:v>
      </x:c>
      <x:c r="F8" s="28" t="n">
        <x:f>D8*E8</x:f>
        <x:v>12</x:v>
      </x:c>
      <x:c r="G8" s="28" t="str">
        <x:v>حل غير مطابق</x:v>
      </x:c>
      <x:c r="H8" s="28" t="str">
        <x:v>راجع التحدي النهائي وقت الحدث</x:v>
      </x:c>
      <x:c r="I8" s="28" t="str">
        <x:v>قائد المشروع</x:v>
      </x:c>
      <x:c r="J8" s="28" t="str">
        <x:v>مفتوح</x:v>
      </x:c>
      <x:c r="K8" s="28" t="str">
        <x:v>S02</x:v>
      </x:c>
    </x:row>
    <x:row r="9" ht="43" customHeight="1">
      <x:c r="A9" s="28" t="str">
        <x:v>RK04</x:v>
      </x:c>
      <x:c r="B9" s="28" t="str">
        <x:v>معلومات NASA مختلقة</x:v>
      </x:c>
      <x:c r="C9" s="28" t="str">
        <x:v>علمي</x:v>
      </x:c>
      <x:c r="D9" s="28" t="n">
        <x:v>4</x:v>
      </x:c>
      <x:c r="E9" s="28" t="n">
        <x:v>5</x:v>
      </x:c>
      <x:c r="F9" s="28" t="n">
        <x:f>D9*E9</x:f>
        <x:v>20</x:v>
      </x:c>
      <x:c r="G9" s="28" t="str">
        <x:v>سقوط Validity</x:v>
      </x:c>
      <x:c r="H9" s="28" t="str">
        <x:v>claim→source ومراجعة العلمية</x:v>
      </x:c>
      <x:c r="I9" s="28" t="str">
        <x:v>Science</x:v>
      </x:c>
      <x:c r="J9" s="28" t="str">
        <x:v>مفتوح</x:v>
      </x:c>
      <x:c r="K9" s="28" t="str">
        <x:v>S05</x:v>
      </x:c>
    </x:row>
    <x:row r="10" ht="43" customHeight="1">
      <x:c r="A10" s="28" t="str">
        <x:v>RK05</x:v>
      </x:c>
      <x:c r="B10" s="28" t="str">
        <x:v>نسبة المسارات الخيالية لتاريخ</x:v>
      </x:c>
      <x:c r="C10" s="28" t="str">
        <x:v>علمي</x:v>
      </x:c>
      <x:c r="D10" s="28" t="n">
        <x:v>4</x:v>
      </x:c>
      <x:c r="E10" s="28" t="n">
        <x:v>5</x:v>
      </x:c>
      <x:c r="F10" s="28" t="n">
        <x:f>D10*E10</x:f>
        <x:v>20</x:v>
      </x:c>
      <x:c r="G10" s="28" t="str">
        <x:v>خداع علمي</x:v>
      </x:c>
      <x:c r="H10" s="28" t="str">
        <x:v>وسم واضح Simulation</x:v>
      </x:c>
      <x:c r="I10" s="28" t="str">
        <x:v>Science</x:v>
      </x:c>
      <x:c r="J10" s="28" t="str">
        <x:v>مفتوح</x:v>
      </x:c>
      <x:c r="K10" s="28" t="str">
        <x:v>S05</x:v>
      </x:c>
    </x:row>
    <x:row r="11" ht="43" customHeight="1">
      <x:c r="A11" s="28" t="str">
        <x:v>RK06</x:v>
      </x:c>
      <x:c r="B11" s="28" t="str">
        <x:v>رسالة Opportunity الخيالية</x:v>
      </x:c>
      <x:c r="C11" s="28" t="str">
        <x:v>علمي</x:v>
      </x:c>
      <x:c r="D11" s="28" t="n">
        <x:v>4</x:v>
      </x:c>
      <x:c r="E11" s="28" t="n">
        <x:v>5</x:v>
      </x:c>
      <x:c r="F11" s="28" t="n">
        <x:f>D11*E11</x:f>
        <x:v>20</x:v>
      </x:c>
      <x:c r="G11" s="28" t="str">
        <x:v>تناقض تاريخي</x:v>
      </x:c>
      <x:c r="H11" s="28" t="str">
        <x:v>استعمل آخر صورة كمرجع وتجنب المقولة المزيفة</x:v>
      </x:c>
      <x:c r="I11" s="28" t="str">
        <x:v>Science</x:v>
      </x:c>
      <x:c r="J11" s="28" t="str">
        <x:v>مفتوح</x:v>
      </x:c>
      <x:c r="K11" s="28" t="str">
        <x:v>S12</x:v>
      </x:c>
    </x:row>
    <x:row r="12" ht="43" customHeight="1">
      <x:c r="A12" s="28" t="str">
        <x:v>RK07</x:v>
      </x:c>
      <x:c r="B12" s="28" t="str">
        <x:v>استخدام شعار NASA في العلامة</x:v>
      </x:c>
      <x:c r="C12" s="28" t="str">
        <x:v>حقوق</x:v>
      </x:c>
      <x:c r="D12" s="28" t="n">
        <x:v>3</x:v>
      </x:c>
      <x:c r="E12" s="28" t="n">
        <x:v>5</x:v>
      </x:c>
      <x:c r="F12" s="28" t="n">
        <x:f>D12*E12</x:f>
        <x:v>15</x:v>
      </x:c>
      <x:c r="G12" s="28" t="str">
        <x:v>مخالفة حقوق/هوية</x:v>
      </x:c>
      <x:c r="H12" s="28" t="str">
        <x:v>بدون شعار أو ادعاء رعاية</x:v>
      </x:c>
      <x:c r="I12" s="28" t="str">
        <x:v>Product</x:v>
      </x:c>
      <x:c r="J12" s="28" t="str">
        <x:v>مفتوح</x:v>
      </x:c>
      <x:c r="K12" s="28" t="str">
        <x:v>S13</x:v>
      </x:c>
    </x:row>
    <x:row r="13" ht="43" customHeight="1">
      <x:c r="A13" s="28" t="str">
        <x:v>RK08</x:v>
      </x:c>
      <x:c r="B13" s="28" t="str">
        <x:v>حقوق صور مجهولة</x:v>
      </x:c>
      <x:c r="C13" s="28" t="str">
        <x:v>حقوق</x:v>
      </x:c>
      <x:c r="D13" s="28" t="n">
        <x:v>3</x:v>
      </x:c>
      <x:c r="E13" s="28" t="n">
        <x:v>4</x:v>
      </x:c>
      <x:c r="F13" s="28" t="n">
        <x:f>D13*E13</x:f>
        <x:v>12</x:v>
      </x:c>
      <x:c r="G13" s="28" t="str">
        <x:v>سحب محتوى</x:v>
      </x:c>
      <x:c r="H13" s="28" t="str">
        <x:v>asset register/CC0 موثق</x:v>
      </x:c>
      <x:c r="I13" s="28" t="str">
        <x:v>Art</x:v>
      </x:c>
      <x:c r="J13" s="28" t="str">
        <x:v>مفتوح</x:v>
      </x:c>
      <x:c r="K13" s="28" t="str">
        <x:v>S15</x:v>
      </x:c>
    </x:row>
    <x:row r="14" ht="43" customHeight="1">
      <x:c r="A14" s="28" t="str">
        <x:v>RK09</x:v>
      </x:c>
      <x:c r="B14" s="28" t="str">
        <x:v>قفل ألغاز غير قابل للحل</x:v>
      </x:c>
      <x:c r="C14" s="28" t="str">
        <x:v>لعب</x:v>
      </x:c>
      <x:c r="D14" s="28" t="n">
        <x:v>4</x:v>
      </x:c>
      <x:c r="E14" s="28" t="n">
        <x:v>4</x:v>
      </x:c>
      <x:c r="F14" s="28" t="n">
        <x:f>D14*E14</x:f>
        <x:v>16</x:v>
      </x:c>
      <x:c r="G14" s="28" t="str">
        <x:v>مغادرة المستخدم</x:v>
      </x:c>
      <x:c r="H14" s="28" t="str">
        <x:v>اختبارات من البداية للنهاية</x:v>
      </x:c>
      <x:c r="I14" s="28" t="str">
        <x:v>QA</x:v>
      </x:c>
      <x:c r="J14" s="28" t="str">
        <x:v>مفتوح</x:v>
      </x:c>
      <x:c r="K14" s="28" t="str">
        <x:v>TC</x:v>
      </x:c>
    </x:row>
    <x:row r="15" ht="43" customHeight="1">
      <x:c r="A15" s="28" t="str">
        <x:v>RK10</x:v>
      </x:c>
      <x:c r="B15" s="28" t="str">
        <x:v>السؤال أصعب من العمر</x:v>
      </x:c>
      <x:c r="C15" s="28" t="str">
        <x:v>تعليم</x:v>
      </x:c>
      <x:c r="D15" s="28" t="n">
        <x:v>4</x:v>
      </x:c>
      <x:c r="E15" s="28" t="n">
        <x:v>3</x:v>
      </x:c>
      <x:c r="F15" s="28" t="n">
        <x:f>D15*E15</x:f>
        <x:v>12</x:v>
      </x:c>
      <x:c r="G15" s="28" t="str">
        <x:v>نسبة انسحاب عالية</x:v>
      </x:c>
      <x:c r="H15" s="28" t="str">
        <x:v>اختبار 12–18 سنة</x:v>
      </x:c>
      <x:c r="I15" s="28" t="str">
        <x:v>UX</x:v>
      </x:c>
      <x:c r="J15" s="28" t="str">
        <x:v>مفتوح</x:v>
      </x:c>
      <x:c r="K15" s="28" t="str">
        <x:v>Learning</x:v>
      </x:c>
    </x:row>
    <x:row r="16" ht="43" customHeight="1">
      <x:c r="A16" s="28" t="str">
        <x:v>RK11</x:v>
      </x:c>
      <x:c r="B16" s="28" t="str">
        <x:v>القيادة غير ممتعة</x:v>
      </x:c>
      <x:c r="C16" s="28" t="str">
        <x:v>لعب</x:v>
      </x:c>
      <x:c r="D16" s="28" t="n">
        <x:v>4</x:v>
      </x:c>
      <x:c r="E16" s="28" t="n">
        <x:v>4</x:v>
      </x:c>
      <x:c r="F16" s="28" t="n">
        <x:f>D16*E16</x:f>
        <x:v>16</x:v>
      </x:c>
      <x:c r="G16" s="28" t="str">
        <x:v>فقدان عنصر الجذب</x:v>
      </x:c>
      <x:c r="H16" s="28" t="str">
        <x:v>فحص بلا تلميحات وتحسين الشعور</x:v>
      </x:c>
      <x:c r="I16" s="28" t="str">
        <x:v>Gameplay</x:v>
      </x:c>
      <x:c r="J16" s="28" t="str">
        <x:v>مفتوح</x:v>
      </x:c>
      <x:c r="K16" s="28" t="str">
        <x:v>UX</x:v>
      </x:c>
    </x:row>
    <x:row r="17" ht="43" customHeight="1">
      <x:c r="A17" s="28" t="str">
        <x:v>RK12</x:v>
      </x:c>
      <x:c r="B17" s="28" t="str">
        <x:v>البيئة تبدو كواجهة Excel</x:v>
      </x:c>
      <x:c r="C17" s="28" t="str">
        <x:v>عرض</x:v>
      </x:c>
      <x:c r="D17" s="28" t="n">
        <x:v>3</x:v>
      </x:c>
      <x:c r="E17" s="28" t="n">
        <x:v>4</x:v>
      </x:c>
      <x:c r="F17" s="28" t="n">
        <x:f>D17*E17</x:f>
        <x:v>12</x:v>
      </x:c>
      <x:c r="G17" s="28" t="str">
        <x:v>انطباع ضعيف</x:v>
      </x:c>
      <x:c r="H17" s="28" t="str">
        <x:v>مشهد أغنى وتحكم سلس قبل وثائق</x:v>
      </x:c>
      <x:c r="I17" s="28" t="str">
        <x:v>Art</x:v>
      </x:c>
      <x:c r="J17" s="28" t="str">
        <x:v>مفتوح</x:v>
      </x:c>
      <x:c r="K17" s="28" t="str">
        <x:v>UX</x:v>
      </x:c>
    </x:row>
    <x:row r="18" ht="43" customHeight="1">
      <x:c r="A18" s="28" t="str">
        <x:v>RK13</x:v>
      </x:c>
      <x:c r="B18" s="28" t="str">
        <x:v>حجم عالم كبير وفارغ</x:v>
      </x:c>
      <x:c r="C18" s="28" t="str">
        <x:v>نطاق</x:v>
      </x:c>
      <x:c r="D18" s="28" t="n">
        <x:v>4</x:v>
      </x:c>
      <x:c r="E18" s="28" t="n">
        <x:v>4</x:v>
      </x:c>
      <x:c r="F18" s="28" t="n">
        <x:f>D18*E18</x:f>
        <x:v>16</x:v>
      </x:c>
      <x:c r="G18" s="28" t="str">
        <x:v>هدر وقت</x:v>
      </x:c>
      <x:c r="H18" s="28" t="str">
        <x:v>عالم صغير كثيف</x:v>
      </x:c>
      <x:c r="I18" s="28" t="str">
        <x:v>Product</x:v>
      </x:c>
      <x:c r="J18" s="28" t="str">
        <x:v>مفتوح</x:v>
      </x:c>
      <x:c r="K18" s="28" t="str">
        <x:v>Map</x:v>
      </x:c>
    </x:row>
    <x:row r="19" ht="43" customHeight="1">
      <x:c r="A19" s="28" t="str">
        <x:v>RK14</x:v>
      </x:c>
      <x:c r="B19" s="28" t="str">
        <x:v>التوسع لمهمات كثيرة</x:v>
      </x:c>
      <x:c r="C19" s="28" t="str">
        <x:v>نطاق</x:v>
      </x:c>
      <x:c r="D19" s="28" t="n">
        <x:v>5</x:v>
      </x:c>
      <x:c r="E19" s="28" t="n">
        <x:v>4</x:v>
      </x:c>
      <x:c r="F19" s="28" t="n">
        <x:f>D19*E19</x:f>
        <x:v>20</x:v>
      </x:c>
      <x:c r="G19" s="28" t="str">
        <x:v>فشل إنجاز رئيسي</x:v>
      </x:c>
      <x:c r="H19" s="28" t="str">
        <x:v>P0 أولًا ثم P2</x:v>
      </x:c>
      <x:c r="I19" s="28" t="str">
        <x:v>Product</x:v>
      </x:c>
      <x:c r="J19" s="28" t="str">
        <x:v>مفتوح</x:v>
      </x:c>
      <x:c r="K19" s="28" t="str">
        <x:v>Stages</x:v>
      </x:c>
    </x:row>
    <x:row r="20" ht="43" customHeight="1">
      <x:c r="A20" s="28" t="str">
        <x:v>RK15</x:v>
      </x:c>
      <x:c r="B20" s="28" t="str">
        <x:v>خراب الحفظ</x:v>
      </x:c>
      <x:c r="C20" s="28" t="str">
        <x:v>تقني</x:v>
      </x:c>
      <x:c r="D20" s="28" t="n">
        <x:v>3</x:v>
      </x:c>
      <x:c r="E20" s="28" t="n">
        <x:v>5</x:v>
      </x:c>
      <x:c r="F20" s="28" t="n">
        <x:f>D20*E20</x:f>
        <x:v>15</x:v>
      </x:c>
      <x:c r="G20" s="28" t="str">
        <x:v>فقد تقدم</x:v>
      </x:c>
      <x:c r="H20" s="28" t="str">
        <x:v>schema validation/backup</x:v>
      </x:c>
      <x:c r="I20" s="28" t="str">
        <x:v>Systems</x:v>
      </x:c>
      <x:c r="J20" s="28" t="str">
        <x:v>مفتوح</x:v>
      </x:c>
      <x:c r="K20" s="28" t="str">
        <x:v>Persistence</x:v>
      </x:c>
    </x:row>
    <x:row r="21" ht="43" customHeight="1">
      <x:c r="A21" s="28" t="str">
        <x:v>RK16</x:v>
      </x:c>
      <x:c r="B21" s="28" t="str">
        <x:v>بعض المتصفحات لا تعمل</x:v>
      </x:c>
      <x:c r="C21" s="28" t="str">
        <x:v>تقني</x:v>
      </x:c>
      <x:c r="D21" s="28" t="n">
        <x:v>3</x:v>
      </x:c>
      <x:c r="E21" s="28" t="n">
        <x:v>4</x:v>
      </x:c>
      <x:c r="F21" s="28" t="n">
        <x:f>D21*E21</x:f>
        <x:v>12</x:v>
      </x:c>
      <x:c r="G21" s="28" t="str">
        <x:v>فشل العرض</x:v>
      </x:c>
      <x:c r="H21" s="28" t="str">
        <x:v>فحص Chrome/Edge/Firefox</x:v>
      </x:c>
      <x:c r="I21" s="28" t="str">
        <x:v>QA</x:v>
      </x:c>
      <x:c r="J21" s="28" t="str">
        <x:v>مفتوح</x:v>
      </x:c>
      <x:c r="K21" s="28" t="str">
        <x:v>Tests</x:v>
      </x:c>
    </x:row>
    <x:row r="22" ht="43" customHeight="1">
      <x:c r="A22" s="28" t="str">
        <x:v>RK17</x:v>
      </x:c>
      <x:c r="B22" s="28" t="str">
        <x:v>عدم وجود إنترنت</x:v>
      </x:c>
      <x:c r="C22" s="28" t="str">
        <x:v>تقني</x:v>
      </x:c>
      <x:c r="D22" s="28" t="n">
        <x:v>2</x:v>
      </x:c>
      <x:c r="E22" s="28" t="n">
        <x:v>4</x:v>
      </x:c>
      <x:c r="F22" s="28" t="n">
        <x:f>D22*E22</x:f>
        <x:v>8</x:v>
      </x:c>
      <x:c r="G22" s="28" t="str">
        <x:v>المراجع لا تعمل</x:v>
      </x:c>
      <x:c r="H22" s="28" t="str">
        <x:v>تشغيل أساسي أوفلاين</x:v>
      </x:c>
      <x:c r="I22" s="28" t="str">
        <x:v>Tech</x:v>
      </x:c>
      <x:c r="J22" s="28" t="str">
        <x:v>مفتوح</x:v>
      </x:c>
      <x:c r="K22" s="28" t="str">
        <x:v>Architecture</x:v>
      </x:c>
    </x:row>
    <x:row r="23" ht="43" customHeight="1">
      <x:c r="A23" s="28" t="str">
        <x:v>RK18</x:v>
      </x:c>
      <x:c r="B23" s="28" t="str">
        <x:v>طاقة Opportunity غير منطقية</x:v>
      </x:c>
      <x:c r="C23" s="28" t="str">
        <x:v>علمي</x:v>
      </x:c>
      <x:c r="D23" s="28" t="n">
        <x:v>3</x:v>
      </x:c>
      <x:c r="E23" s="28" t="n">
        <x:v>4</x:v>
      </x:c>
      <x:c r="F23" s="28" t="n">
        <x:f>D23*E23</x:f>
        <x:v>12</x:v>
      </x:c>
      <x:c r="G23" s="28" t="str">
        <x:v>فشل التعلم</x:v>
      </x:c>
      <x:c r="H23" s="28" t="str">
        <x:v>الوحدات والحدود</x:v>
      </x:c>
      <x:c r="I23" s="28" t="str">
        <x:v>Science</x:v>
      </x:c>
      <x:c r="J23" s="28" t="str">
        <x:v>مفتوح</x:v>
      </x:c>
      <x:c r="K23" s="28" t="str">
        <x:v>SIM08</x:v>
      </x:c>
    </x:row>
    <x:row r="24" ht="43" customHeight="1">
      <x:c r="A24" s="28" t="str">
        <x:v>RK19</x:v>
      </x:c>
      <x:c r="B24" s="28" t="str">
        <x:v>الأهداف التعليمية غير مثبتة</x:v>
      </x:c>
      <x:c r="C24" s="28" t="str">
        <x:v>دليل أثر</x:v>
      </x:c>
      <x:c r="D24" s="28" t="n">
        <x:v>4</x:v>
      </x:c>
      <x:c r="E24" s="28" t="n">
        <x:v>3</x:v>
      </x:c>
      <x:c r="F24" s="28" t="n">
        <x:f>D24*E24</x:f>
        <x:v>12</x:v>
      </x:c>
      <x:c r="G24" s="28" t="str">
        <x:v>ضعف Impact</x:v>
      </x:c>
      <x:c r="H24" s="28" t="str">
        <x:v>اختبار قبلي/بعدي</x:v>
      </x:c>
      <x:c r="I24" s="28" t="str">
        <x:v>QA</x:v>
      </x:c>
      <x:c r="J24" s="28" t="str">
        <x:v>مفتوح</x:v>
      </x:c>
      <x:c r="K24" s="28" t="str">
        <x:v>Learning</x:v>
      </x:c>
    </x:row>
    <x:row r="25" ht="43" customHeight="1">
      <x:c r="A25" s="28" t="str">
        <x:v>RK20</x:v>
      </x:c>
      <x:c r="B25" s="28" t="str">
        <x:v>اللعبة تنافس ألعابًا مشابهة</x:v>
      </x:c>
      <x:c r="C25" s="28" t="str">
        <x:v>منافسة</x:v>
      </x:c>
      <x:c r="D25" s="28" t="n">
        <x:v>4</x:v>
      </x:c>
      <x:c r="E25" s="28" t="n">
        <x:v>3</x:v>
      </x:c>
      <x:c r="F25" s="28" t="n">
        <x:f>D25*E25</x:f>
        <x:v>12</x:v>
      </x:c>
      <x:c r="G25" s="28" t="str">
        <x:v>قلة التفرد</x:v>
      </x:c>
      <x:c r="H25" s="28" t="str">
        <x:v>سلسلة سبب→أثر + 2 مهمة</x:v>
      </x:c>
      <x:c r="I25" s="28" t="str">
        <x:v>Product</x:v>
      </x:c>
      <x:c r="J25" s="28" t="str">
        <x:v>مفتوح</x:v>
      </x:c>
      <x:c r="K25" s="28" t="str">
        <x:v>Competitors</x:v>
      </x:c>
    </x:row>
    <x:row r="26" ht="43" customHeight="1">
      <x:c r="A26" s="28" t="str">
        <x:v>RK21</x:v>
      </x:c>
      <x:c r="B26" s="28" t="str">
        <x:v>النسخة منشورة كرابط لا يعمل</x:v>
      </x:c>
      <x:c r="C26" s="28" t="str">
        <x:v>تقني</x:v>
      </x:c>
      <x:c r="D26" s="28" t="n">
        <x:v>4</x:v>
      </x:c>
      <x:c r="E26" s="28" t="n">
        <x:v>5</x:v>
      </x:c>
      <x:c r="F26" s="28" t="n">
        <x:f>D26*E26</x:f>
        <x:v>20</x:v>
      </x:c>
      <x:c r="G26" s="28" t="str">
        <x:v>المحكم لا يصل</x:v>
      </x:c>
      <x:c r="H26" s="28" t="str">
        <x:v>نسخة zip وURL وخطة بديلة</x:v>
      </x:c>
      <x:c r="I26" s="28" t="str">
        <x:v>Tech</x:v>
      </x:c>
      <x:c r="J26" s="28" t="str">
        <x:v>مفتوح</x:v>
      </x:c>
      <x:c r="K26" s="28" t="str">
        <x:v>Submission</x:v>
      </x:c>
    </x:row>
    <x:row r="27" ht="43" customHeight="1">
      <x:c r="A27" s="28" t="str">
        <x:v>RK22</x:v>
      </x:c>
      <x:c r="B27" s="28" t="str">
        <x:v>فيديو معدّل يخفي مشاكل اللعب</x:v>
      </x:c>
      <x:c r="C27" s="28" t="str">
        <x:v>نزاهة</x:v>
      </x:c>
      <x:c r="D27" s="28" t="n">
        <x:v>3</x:v>
      </x:c>
      <x:c r="E27" s="28" t="n">
        <x:v>5</x:v>
      </x:c>
      <x:c r="F27" s="28" t="n">
        <x:f>D27*E27</x:f>
        <x:v>15</x:v>
      </x:c>
      <x:c r="G27" s="28" t="str">
        <x:v>فقد الثقة</x:v>
      </x:c>
      <x:c r="H27" s="28" t="str">
        <x:v>عرض حقيقي وتوثيق الأعطال</x:v>
      </x:c>
      <x:c r="I27" s="28" t="str">
        <x:v>Product</x:v>
      </x:c>
      <x:c r="J27" s="28" t="str">
        <x:v>مفتوح</x:v>
      </x:c>
      <x:c r="K27" s="28" t="str">
        <x:v>Demo</x:v>
      </x:c>
    </x:row>
    <x:row r="28" ht="43" customHeight="1">
      <x:c r="A28" s="28" t="str">
        <x:v>RK23</x:v>
      </x:c>
      <x:c r="B28" s="28" t="str">
        <x:v>نقاط XP قابلة للاستغلال</x:v>
      </x:c>
      <x:c r="C28" s="28" t="str">
        <x:v>لعب</x:v>
      </x:c>
      <x:c r="D28" s="28" t="n">
        <x:v>3</x:v>
      </x:c>
      <x:c r="E28" s="28" t="n">
        <x:v>3</x:v>
      </x:c>
      <x:c r="F28" s="28" t="n">
        <x:f>D28*E28</x:f>
        <x:v>9</x:v>
      </x:c>
      <x:c r="G28" s="28" t="str">
        <x:v>تقييم غير عادل</x:v>
      </x:c>
      <x:c r="H28" s="28" t="str">
        <x:v>منع الجمع المكرر</x:v>
      </x:c>
      <x:c r="I28" s="28" t="str">
        <x:v>Systems</x:v>
      </x:c>
      <x:c r="J28" s="28" t="str">
        <x:v>مفتوح</x:v>
      </x:c>
      <x:c r="K28" s="28" t="str">
        <x:v>XP</x:v>
      </x:c>
    </x:row>
    <x:row r="29" ht="43" customHeight="1">
      <x:c r="A29" s="28" t="str">
        <x:v>RK24</x:v>
      </x:c>
      <x:c r="B29" s="28" t="str">
        <x:v>قلة الوقت للتوثيق</x:v>
      </x:c>
      <x:c r="C29" s="28" t="str">
        <x:v>إدارة</x:v>
      </x:c>
      <x:c r="D29" s="28" t="n">
        <x:v>5</x:v>
      </x:c>
      <x:c r="E29" s="28" t="n">
        <x:v>4</x:v>
      </x:c>
      <x:c r="F29" s="28" t="n">
        <x:f>D29*E29</x:f>
        <x:v>20</x:v>
      </x:c>
      <x:c r="G29" s="28" t="str">
        <x:v>استبعاد أدلة</x:v>
      </x:c>
      <x:c r="H29" s="28" t="str">
        <x:v>جهز قوالب مسموحة مسبقًا</x:v>
      </x:c>
      <x:c r="I29" s="28" t="str">
        <x:v>Product</x:v>
      </x:c>
      <x:c r="J29" s="28" t="str">
        <x:v>مفتوح</x:v>
      </x:c>
      <x:c r="K29" s="28" t="str">
        <x:v>Submission</x:v>
      </x:c>
    </x:row>
    <x:row r="30" ht="43" customHeight="1">
      <x:c r="A30" s="28" t="str">
        <x:v>RK25</x:v>
      </x:c>
      <x:c r="B30" s="28" t="str">
        <x:v>لا رد من منظمي الأهلية</x:v>
      </x:c>
      <x:c r="C30" s="28" t="str">
        <x:v>تنظيمي</x:v>
      </x:c>
      <x:c r="D30" s="28" t="n">
        <x:v>4</x:v>
      </x:c>
      <x:c r="E30" s="28" t="n">
        <x:v>5</x:v>
      </x:c>
      <x:c r="F30" s="28" t="n">
        <x:f>D30*E30</x:f>
        <x:v>20</x:v>
      </x:c>
      <x:c r="G30" s="28" t="str">
        <x:v>عدم حسم الأهلية</x:v>
      </x:c>
      <x:c r="H30" s="28" t="str">
        <x:v>اطلب تأكيدًا آخر ولا تفترض السماح</x:v>
      </x:c>
      <x:c r="I30" s="28" t="str">
        <x:v>Product</x:v>
      </x:c>
      <x:c r="J30" s="28" t="str">
        <x:v>مفتوح</x:v>
      </x:c>
      <x:c r="K30" s="28" t="str">
        <x:v>S03</x:v>
      </x:c>
    </x:row>
    <x:row r="31" ht="43" customHeight="1">
      <x:c r="A31" s="28" t="str">
        <x:v>RK26</x:v>
      </x:c>
      <x:c r="B31" s="28" t="str">
        <x:v>AI output يختلق مصادر</x:v>
      </x:c>
      <x:c r="C31" s="28" t="str">
        <x:v>علمي</x:v>
      </x:c>
      <x:c r="D31" s="28" t="n">
        <x:v>4</x:v>
      </x:c>
      <x:c r="E31" s="28" t="n">
        <x:v>4</x:v>
      </x:c>
      <x:c r="F31" s="28" t="n">
        <x:f>D31*E31</x:f>
        <x:v>16</x:v>
      </x:c>
      <x:c r="G31" s="28" t="str">
        <x:v>فقد المصداقية</x:v>
      </x:c>
      <x:c r="H31" s="28" t="str">
        <x:v>مراجعة يدوية قبل النشر</x:v>
      </x:c>
      <x:c r="I31" s="28" t="str">
        <x:v>Science</x:v>
      </x:c>
      <x:c r="J31" s="28" t="str">
        <x:v>مفتوح</x:v>
      </x:c>
      <x:c r="K31" s="28" t="str">
        <x:v>Sources</x:v>
      </x:c>
    </x:row>
    <x:row r="32" ht="43" customHeight="1">
      <x:c r="A32" s="28" t="str">
        <x:v>RK27</x:v>
      </x:c>
      <x:c r="B32" s="28" t="str">
        <x:v>اللعبة تثير صوتًا زائدًا</x:v>
      </x:c>
      <x:c r="C32" s="28" t="str">
        <x:v>إتاحة</x:v>
      </x:c>
      <x:c r="D32" s="28" t="n">
        <x:v>3</x:v>
      </x:c>
      <x:c r="E32" s="28" t="n">
        <x:v>2</x:v>
      </x:c>
      <x:c r="F32" s="28" t="n">
        <x:f>D32*E32</x:f>
        <x:v>6</x:v>
      </x:c>
      <x:c r="G32" s="28" t="str">
        <x:v>تعب المستخدم</x:v>
      </x:c>
      <x:c r="H32" s="28" t="str">
        <x:v>زر mute وتباين</x:v>
      </x:c>
      <x:c r="I32" s="28" t="str">
        <x:v>UX</x:v>
      </x:c>
      <x:c r="J32" s="28" t="str">
        <x:v>مفتوح</x:v>
      </x:c>
      <x:c r="K32" s="28" t="str">
        <x:v>UX10</x:v>
      </x:c>
    </x:row>
    <x:row r="33" ht="43" customHeight="1">
      <x:c r="A33" s="28" t="str">
        <x:v>RK28</x:v>
      </x:c>
      <x:c r="B33" s="28" t="str">
        <x:v>التمثيل العربي غير منضبط</x:v>
      </x:c>
      <x:c r="C33" s="28" t="str">
        <x:v>توطين</x:v>
      </x:c>
      <x:c r="D33" s="28" t="n">
        <x:v>4</x:v>
      </x:c>
      <x:c r="E33" s="28" t="n">
        <x:v>3</x:v>
      </x:c>
      <x:c r="F33" s="28" t="n">
        <x:f>D33*E33</x:f>
        <x:v>12</x:v>
      </x:c>
      <x:c r="G33" s="28" t="str">
        <x:v>ضعف فئة مستهدفة</x:v>
      </x:c>
      <x:c r="H33" s="28" t="str">
        <x:v>RTL + تدقيق مستخدم</x:v>
      </x:c>
      <x:c r="I33" s="28" t="str">
        <x:v>UX</x:v>
      </x:c>
      <x:c r="J33" s="28" t="str">
        <x:v>مفتوح</x:v>
      </x:c>
      <x:c r="K33" s="28" t="str">
        <x:v>UX11</x:v>
      </x:c>
    </x:row>
    <x:row r="34" ht="43" customHeight="1">
      <x:c r="A34" s="28" t="str">
        <x:v>RK29</x:v>
      </x:c>
      <x:c r="B34" s="28" t="str">
        <x:v>الفريق يفترق في مهام غير ضرورية</x:v>
      </x:c>
      <x:c r="C34" s="28" t="str">
        <x:v>إدارة</x:v>
      </x:c>
      <x:c r="D34" s="28" t="n">
        <x:v>4</x:v>
      </x:c>
      <x:c r="E34" s="28" t="n">
        <x:v>4</x:v>
      </x:c>
      <x:c r="F34" s="28" t="n">
        <x:f>D34*E34</x:f>
        <x:v>16</x:v>
      </x:c>
      <x:c r="G34" s="28" t="str">
        <x:v>ضعف MVP</x:v>
      </x:c>
      <x:c r="H34" s="28" t="str">
        <x:v>workstream واحد</x:v>
      </x:c>
      <x:c r="I34" s="28" t="str">
        <x:v>Lead</x:v>
      </x:c>
      <x:c r="J34" s="28" t="str">
        <x:v>مفتوح</x:v>
      </x:c>
      <x:c r="K34" s="28" t="str">
        <x:v>Team</x:v>
      </x:c>
    </x:row>
    <x:row r="35" ht="43" customHeight="1">
      <x:c r="A35" s="28" t="str">
        <x:v>RK30</x:v>
      </x:c>
      <x:c r="B35" s="28" t="str">
        <x:v>التقييم الذاتي يتوهّم نسب فوز</x:v>
      </x:c>
      <x:c r="C35" s="28" t="str">
        <x:v>قرار</x:v>
      </x:c>
      <x:c r="D35" s="28" t="n">
        <x:v>3</x:v>
      </x:c>
      <x:c r="E35" s="28" t="n">
        <x:v>5</x:v>
      </x:c>
      <x:c r="F35" s="28" t="n">
        <x:f>D35*E35</x:f>
        <x:v>15</x:v>
      </x:c>
      <x:c r="G35" s="28" t="str">
        <x:v>قرارات خاطئة</x:v>
      </x:c>
      <x:c r="H35" s="28" t="str">
        <x:v>لا تحسب احتمال الفوز كحقيقة</x:v>
      </x:c>
      <x:c r="I35" s="28" t="str">
        <x:v>Lead</x:v>
      </x:c>
      <x:c r="J35" s="28" t="str">
        <x:v>مفتوح</x:v>
      </x:c>
      <x:c r="K35" s="28" t="str">
        <x:v>Dashboard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8121459029d8489d"/>
  </x:tableParts>
</x:worksheet>
</file>

<file path=xl/worksheets/sheet2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7" hidden="0" customWidth="1"/>
    <x:col min="3" max="3" width="55" hidden="0" customWidth="1"/>
    <x:col min="4" max="4" width="57" hidden="0" customWidth="1"/>
    <x:col min="5" max="5" width="64" hidden="0" customWidth="1"/>
    <x:col min="6" max="6" width="23" hidden="0" customWidth="1"/>
    <x:col min="7" max="7" width="23" hidden="0" customWidth="1"/>
    <x:col min="8" max="8" width="13" hidden="0" customWidth="1"/>
  </x:cols>
  <x:sheetData>
    <x:row r="1" ht="38" customHeight="1">
      <x:c r="A1" s="4" t="str">
        <x:v>التحكيم</x:v>
      </x:c>
      <x:c r="B1" s="4"/>
      <x:c r="C1" s="4"/>
      <x:c r="D1" s="4"/>
      <x:c r="E1" s="4"/>
      <x:c r="F1" s="4"/>
      <x:c r="G1" s="4"/>
      <x:c r="H1" s="4"/>
    </x:row>
    <x:row r="2" ht="29" customHeight="1">
      <x:c r="A2" s="10" t="str">
        <x:v>معايير Impact/Creativity/Validity/Relevance/Presentation وردت في صفحة محلية 2026؛ لا أوزان عالمية مؤكدة</x:v>
      </x:c>
      <x:c r="B2" s="10"/>
      <x:c r="C2" s="10"/>
      <x:c r="D2" s="10"/>
      <x:c r="E2" s="10"/>
      <x:c r="F2" s="10"/>
      <x:c r="G2" s="10"/>
      <x:c r="H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  <x:c r="H3" s="15"/>
    </x:row>
    <x:row r="5" ht="34" customHeight="1">
      <x:c r="A5" s="21" t="str">
        <x:v>ID</x:v>
      </x:c>
      <x:c r="B5" s="21" t="str">
        <x:v>محور التقييم</x:v>
      </x:c>
      <x:c r="C5" s="21" t="str">
        <x:v>شرط الإقناع</x:v>
      </x:c>
      <x:c r="D5" s="21" t="str">
        <x:v>كيف نبرهن</x:v>
      </x:c>
      <x:c r="E5" s="21" t="str">
        <x:v>دليل مطلوب</x:v>
      </x:c>
      <x:c r="F5" s="21" t="str">
        <x:v>الحالة</x:v>
      </x:c>
      <x:c r="G5" s="21" t="str">
        <x:v>المصدر</x:v>
      </x:c>
      <x:c r="H5" s="21" t="str">
        <x:v>الأولوية</x:v>
      </x:c>
    </x:row>
    <x:row r="6" ht="43" customHeight="1">
      <x:c r="A6" s="28" t="str">
        <x:v>J01</x:v>
      </x:c>
      <x:c r="B6" s="28" t="str">
        <x:v>Impact / الأثر</x:v>
      </x:c>
      <x:c r="C6" s="28" t="str">
        <x:v>المشكلة حقيقية ومحددة</x:v>
      </x:c>
      <x:c r="D6" s="28" t="str">
        <x:v>عرض لماذا تنفع لعبة آثار علمية للطلاب</x:v>
      </x:c>
      <x:c r="E6" s="28" t="str">
        <x:v>سؤال قبل/بعد من عينة حقيقة</x:v>
      </x:c>
      <x:c r="F6" s="28" t="str">
        <x:v>لم يبدأ</x:v>
      </x:c>
      <x:c r="G6" s="28" t="str">
        <x:v>S04</x:v>
      </x:c>
      <x:c r="H6" s="28" t="str">
        <x:v>P0</x:v>
      </x:c>
    </x:row>
    <x:row r="7" ht="43" customHeight="1">
      <x:c r="A7" s="28" t="str">
        <x:v>J02</x:v>
      </x:c>
      <x:c r="B7" s="28" t="str">
        <x:v>Impact / الأثر</x:v>
      </x:c>
      <x:c r="C7" s="28" t="str">
        <x:v>الفئة 12–18 مرصودة</x:v>
      </x:c>
      <x:c r="D7" s="28" t="str">
        <x:v>تحديد 3 أنواع مستخدمين</x:v>
      </x:c>
      <x:c r="E7" s="28" t="str">
        <x:v>صورة Persona واختبار مسموح</x:v>
      </x:c>
      <x:c r="F7" s="28" t="str">
        <x:v>لم يبدأ</x:v>
      </x:c>
      <x:c r="G7" s="28" t="str">
        <x:v>S02</x:v>
      </x:c>
      <x:c r="H7" s="28" t="str">
        <x:v>P0</x:v>
      </x:c>
    </x:row>
    <x:row r="8" ht="43" customHeight="1">
      <x:c r="A8" s="28" t="str">
        <x:v>J03</x:v>
      </x:c>
      <x:c r="B8" s="28" t="str">
        <x:v>Impact / الأثر</x:v>
      </x:c>
      <x:c r="C8" s="28" t="str">
        <x:v>تحسن الفهم مثبت</x:v>
      </x:c>
      <x:c r="D8" s="28" t="str">
        <x:v>اختبار معرفي متكافئ</x:v>
      </x:c>
      <x:c r="E8" s="28" t="str">
        <x:v>بيانات فعلية لا مفترضة</x:v>
      </x:c>
      <x:c r="F8" s="28" t="str">
        <x:v>لم يبدأ</x:v>
      </x:c>
      <x:c r="G8" s="28" t="str">
        <x:v>LO</x:v>
      </x:c>
      <x:c r="H8" s="28" t="str">
        <x:v>P0</x:v>
      </x:c>
    </x:row>
    <x:row r="9" ht="43" customHeight="1">
      <x:c r="A9" s="28" t="str">
        <x:v>J04</x:v>
      </x:c>
      <x:c r="B9" s="28" t="str">
        <x:v>Impact / الأثر</x:v>
      </x:c>
      <x:c r="C9" s="28" t="str">
        <x:v>يمكن نشره في التعليم</x:v>
      </x:c>
      <x:c r="D9" s="28" t="str">
        <x:v>مشهد فصل مدرسي بسيط</x:v>
      </x:c>
      <x:c r="E9" s="28" t="str">
        <x:v>تجربة صفية بقبول مناسب</x:v>
      </x:c>
      <x:c r="F9" s="28" t="str">
        <x:v>لم يبدأ</x:v>
      </x:c>
      <x:c r="G9" s="28" t="str">
        <x:v>LO</x:v>
      </x:c>
      <x:c r="H9" s="28" t="str">
        <x:v>P0</x:v>
      </x:c>
    </x:row>
    <x:row r="10" ht="43" customHeight="1">
      <x:c r="A10" s="28" t="str">
        <x:v>J05</x:v>
      </x:c>
      <x:c r="B10" s="28" t="str">
        <x:v>Creativity / الإبداع</x:v>
      </x:c>
      <x:c r="C10" s="28" t="str">
        <x:v>ابتكار الربط بدل الحفظ</x:v>
      </x:c>
      <x:c r="D10" s="28" t="str">
        <x:v>لغز evidence-to-discovery</x:v>
      </x:c>
      <x:c r="E10" s="28" t="str">
        <x:v>عرض قبل/بعد الواجهة</x:v>
      </x:c>
      <x:c r="F10" s="28" t="str">
        <x:v>موجود حاليًا</x:v>
      </x:c>
      <x:c r="G10" s="28" t="str">
        <x:v>PZ03</x:v>
      </x:c>
      <x:c r="H10" s="28" t="str">
        <x:v>P0</x:v>
      </x:c>
    </x:row>
    <x:row r="11" ht="43" customHeight="1">
      <x:c r="A11" s="28" t="str">
        <x:v>J06</x:v>
      </x:c>
      <x:c r="B11" s="28" t="str">
        <x:v>Creativity / الإبداع</x:v>
      </x:c>
      <x:c r="C11" s="28" t="str">
        <x:v>عالم مصغر بكثافة تفاعل</x:v>
      </x:c>
      <x:c r="D11" s="28" t="str">
        <x:v>الدائرة+الروفر+المعمل</x:v>
      </x:c>
      <x:c r="E11" s="28" t="str">
        <x:v>عرض حي لثلاث آليات مختلفة</x:v>
      </x:c>
      <x:c r="F11" s="28" t="str">
        <x:v>موجود حاليًا</x:v>
      </x:c>
      <x:c r="G11" s="28" t="str">
        <x:v>PZ</x:v>
      </x:c>
      <x:c r="H11" s="28" t="str">
        <x:v>P0</x:v>
      </x:c>
    </x:row>
    <x:row r="12" ht="43" customHeight="1">
      <x:c r="A12" s="28" t="str">
        <x:v>J07</x:v>
      </x:c>
      <x:c r="B12" s="28" t="str">
        <x:v>Creativity / الإبداع</x:v>
      </x:c>
      <x:c r="C12" s="28" t="str">
        <x:v>سرد علمي غير متوقع</x:v>
      </x:c>
      <x:c r="D12" s="28" t="str">
        <x:v>ECHO/ORIGIN</x:v>
      </x:c>
      <x:c r="E12" s="28" t="str">
        <x:v>قصة لا تنتحل ناسا</x:v>
      </x:c>
      <x:c r="F12" s="28" t="str">
        <x:v>موجود حاليًا</x:v>
      </x:c>
      <x:c r="G12" s="28" t="str">
        <x:v>Narrative</x:v>
      </x:c>
      <x:c r="H12" s="28" t="str">
        <x:v>P0</x:v>
      </x:c>
    </x:row>
    <x:row r="13" ht="43" customHeight="1">
      <x:c r="A13" s="28" t="str">
        <x:v>J08</x:v>
      </x:c>
      <x:c r="B13" s="28" t="str">
        <x:v>Creativity / الإبداع</x:v>
      </x:c>
      <x:c r="C13" s="28" t="str">
        <x:v>تميّز ضد بدائل</x:v>
      </x:c>
      <x:c r="D13" s="28" t="str">
        <x:v>مقارنة مع الفائزين/المنافسين</x:v>
      </x:c>
      <x:c r="E13" s="28" t="str">
        <x:v>مقارنة مراجع موثقة لا تصريحات تسويقية</x:v>
      </x:c>
      <x:c r="F13" s="28" t="str">
        <x:v>لم يبدأ</x:v>
      </x:c>
      <x:c r="G13" s="28" t="str">
        <x:v>S18</x:v>
      </x:c>
      <x:c r="H13" s="28" t="str">
        <x:v>P0</x:v>
      </x:c>
    </x:row>
    <x:row r="14" ht="43" customHeight="1">
      <x:c r="A14" s="28" t="str">
        <x:v>J09</x:v>
      </x:c>
      <x:c r="B14" s="28" t="str">
        <x:v>Validity / الصحة</x:v>
      </x:c>
      <x:c r="C14" s="28" t="str">
        <x:v>كل حقيقة علمية مصدرها معلوم</x:v>
      </x:c>
      <x:c r="D14" s="28" t="str">
        <x:v>NASA mission pages</x:v>
      </x:c>
      <x:c r="E14" s="28" t="str">
        <x:v>claim-to-source matrix</x:v>
      </x:c>
      <x:c r="F14" s="28" t="str">
        <x:v>يحتاج تحقق</x:v>
      </x:c>
      <x:c r="G14" s="28" t="str">
        <x:v>CL</x:v>
      </x:c>
      <x:c r="H14" s="28" t="str">
        <x:v>P0</x:v>
      </x:c>
    </x:row>
    <x:row r="15" ht="43" customHeight="1">
      <x:c r="A15" s="28" t="str">
        <x:v>J10</x:v>
      </x:c>
      <x:c r="B15" s="28" t="str">
        <x:v>Validity / الصحة</x:v>
      </x:c>
      <x:c r="C15" s="28" t="str">
        <x:v>النماذج تحترم الوحدات</x:v>
      </x:c>
      <x:c r="D15" s="28" t="str">
        <x:v>محاكاة زمن ومخزون الطاقة</x:v>
      </x:c>
      <x:c r="E15" s="28" t="str">
        <x:v>unit tests</x:v>
      </x:c>
      <x:c r="F15" s="28" t="str">
        <x:v>لم يبدأ</x:v>
      </x:c>
      <x:c r="G15" s="28" t="str">
        <x:v>SIM</x:v>
      </x:c>
      <x:c r="H15" s="28" t="str">
        <x:v>P0</x:v>
      </x:c>
    </x:row>
    <x:row r="16" ht="43" customHeight="1">
      <x:c r="A16" s="28" t="str">
        <x:v>J11</x:v>
      </x:c>
      <x:c r="B16" s="28" t="str">
        <x:v>Validity / الصحة</x:v>
      </x:c>
      <x:c r="C16" s="28" t="str">
        <x:v>المزج بين الحقيقة والخيال واضح</x:v>
      </x:c>
      <x:c r="D16" s="28" t="str">
        <x:v>قائمة تصنيف تاريخ/محاكاة/خيال</x:v>
      </x:c>
      <x:c r="E16" s="28" t="str">
        <x:v>وسم أثناء اللعب</x:v>
      </x:c>
      <x:c r="F16" s="28" t="str">
        <x:v>يحتاج تحقق</x:v>
      </x:c>
      <x:c r="G16" s="28" t="str">
        <x:v>CL</x:v>
      </x:c>
      <x:c r="H16" s="28" t="str">
        <x:v>P0</x:v>
      </x:c>
    </x:row>
    <x:row r="17" ht="43" customHeight="1">
      <x:c r="A17" s="28" t="str">
        <x:v>J12</x:v>
      </x:c>
      <x:c r="B17" s="28" t="str">
        <x:v>Validity / الصحة</x:v>
      </x:c>
      <x:c r="C17" s="28" t="str">
        <x:v>محدودية النتائج صريحة</x:v>
      </x:c>
      <x:c r="D17" s="28" t="str">
        <x:v>عدم الادعاء بيانات أصلية</x:v>
      </x:c>
      <x:c r="E17" s="28" t="str">
        <x:v>قسم Limitations</x:v>
      </x:c>
      <x:c r="F17" s="28" t="str">
        <x:v>موجود حاليًا</x:v>
      </x:c>
      <x:c r="G17" s="28" t="str">
        <x:v>README</x:v>
      </x:c>
      <x:c r="H17" s="28" t="str">
        <x:v>P0</x:v>
      </x:c>
    </x:row>
    <x:row r="18" ht="43" customHeight="1">
      <x:c r="A18" s="28" t="str">
        <x:v>J13</x:v>
      </x:c>
      <x:c r="B18" s="28" t="str">
        <x:v>Relevance / الملاءمة</x:v>
      </x:c>
      <x:c r="C18" s="28" t="str">
        <x:v>الحل يحكي معدات متروكة</x:v>
      </x:c>
      <x:c r="D18" s="28" t="str">
        <x:v>Apollo وOpportunity</x:v>
      </x:c>
      <x:c r="E18" s="28" t="str">
        <x:v>عينات من المهمتين</x:v>
      </x:c>
      <x:c r="F18" s="28" t="str">
        <x:v>موجود حاليًا</x:v>
      </x:c>
      <x:c r="G18" s="28" t="str">
        <x:v>S02</x:v>
      </x:c>
      <x:c r="H18" s="28" t="str">
        <x:v>P0</x:v>
      </x:c>
    </x:row>
    <x:row r="19" ht="43" customHeight="1">
      <x:c r="A19" s="28" t="str">
        <x:v>J14</x:v>
      </x:c>
      <x:c r="B19" s="28" t="str">
        <x:v>Relevance / الملاءمة</x:v>
      </x:c>
      <x:c r="C19" s="28" t="str">
        <x:v>مناسب للناشئة</x:v>
      </x:c>
      <x:c r="D19" s="28" t="str">
        <x:v>تفاعل قصير وتلميحات</x:v>
      </x:c>
      <x:c r="E19" s="28" t="str">
        <x:v>نتيجة فحص عمر 12–18</x:v>
      </x:c>
      <x:c r="F19" s="28" t="str">
        <x:v>لم يبدأ</x:v>
      </x:c>
      <x:c r="G19" s="28" t="str">
        <x:v>S02</x:v>
      </x:c>
      <x:c r="H19" s="28" t="str">
        <x:v>P0</x:v>
      </x:c>
    </x:row>
    <x:row r="20" ht="43" customHeight="1">
      <x:c r="A20" s="28" t="str">
        <x:v>J15</x:v>
      </x:c>
      <x:c r="B20" s="28" t="str">
        <x:v>Relevance / الملاءمة</x:v>
      </x:c>
      <x:c r="C20" s="28" t="str">
        <x:v>قابل للتنفيذ</x:v>
      </x:c>
      <x:c r="D20" s="28" t="str">
        <x:v>تشغيل دون إنترنت</x:v>
      </x:c>
      <x:c r="E20" s="28" t="str">
        <x:v>رابط + zip + اختبار</x:v>
      </x:c>
      <x:c r="F20" s="28" t="str">
        <x:v>موجود حاليًا</x:v>
      </x:c>
      <x:c r="G20" s="28" t="str">
        <x:v>README</x:v>
      </x:c>
      <x:c r="H20" s="28" t="str">
        <x:v>P0</x:v>
      </x:c>
    </x:row>
    <x:row r="21" ht="43" customHeight="1">
      <x:c r="A21" s="28" t="str">
        <x:v>J16</x:v>
      </x:c>
      <x:c r="B21" s="28" t="str">
        <x:v>Relevance / الملاءمة</x:v>
      </x:c>
      <x:c r="C21" s="28" t="str">
        <x:v>مكتمل المسار</x:v>
      </x:c>
      <x:c r="D21" s="28" t="str">
        <x:v>من start إلى متحف فصلين</x:v>
      </x:c>
      <x:c r="E21" s="28" t="str">
        <x:v>End-to-end مسجل</x:v>
      </x:c>
      <x:c r="F21" s="28" t="str">
        <x:v>يحتاج تحقق</x:v>
      </x:c>
      <x:c r="G21" s="28" t="str">
        <x:v>README</x:v>
      </x:c>
      <x:c r="H21" s="28" t="str">
        <x:v>P0</x:v>
      </x:c>
    </x:row>
    <x:row r="22" ht="43" customHeight="1">
      <x:c r="A22" s="28" t="str">
        <x:v>J17</x:v>
      </x:c>
      <x:c r="B22" s="28" t="str">
        <x:v>Presentation / العرض</x:v>
      </x:c>
      <x:c r="C22" s="28" t="str">
        <x:v>مشكلة وحل في أول دقيقة</x:v>
      </x:c>
      <x:c r="D22" s="28" t="str">
        <x:v>مقدمة مضبوطة</x:v>
      </x:c>
      <x:c r="E22" s="28" t="str">
        <x:v>تجربة تقديم</x:v>
      </x:c>
      <x:c r="F22" s="28" t="str">
        <x:v>لم يبدأ</x:v>
      </x:c>
      <x:c r="G22" s="28" t="str">
        <x:v>Pitch</x:v>
      </x:c>
      <x:c r="H22" s="28" t="str">
        <x:v>P0</x:v>
      </x:c>
    </x:row>
    <x:row r="23" ht="43" customHeight="1">
      <x:c r="A23" s="28" t="str">
        <x:v>J18</x:v>
      </x:c>
      <x:c r="B23" s="28" t="str">
        <x:v>Presentation / العرض</x:v>
      </x:c>
      <x:c r="C23" s="28" t="str">
        <x:v>فيديو حقيقي</x:v>
      </x:c>
      <x:c r="D23" s="28" t="str">
        <x:v>لقطات منتج لا placeholders</x:v>
      </x:c>
      <x:c r="E23" s="28" t="str">
        <x:v>رابط فيديو يعمل</x:v>
      </x:c>
      <x:c r="F23" s="28" t="str">
        <x:v>لم يبدأ</x:v>
      </x:c>
      <x:c r="G23" s="28" t="str">
        <x:v>Submission</x:v>
      </x:c>
      <x:c r="H23" s="28" t="str">
        <x:v>P0</x:v>
      </x:c>
    </x:row>
    <x:row r="24" ht="43" customHeight="1">
      <x:c r="A24" s="28" t="str">
        <x:v>J19</x:v>
      </x:c>
      <x:c r="B24" s="28" t="str">
        <x:v>Presentation / العرض</x:v>
      </x:c>
      <x:c r="C24" s="28" t="str">
        <x:v>كل claim موثق</x:v>
      </x:c>
      <x:c r="D24" s="28" t="str">
        <x:v>روابط داخلية في العرض</x:v>
      </x:c>
      <x:c r="E24" s="28" t="str">
        <x:v>بطاقة مصدر واضحة</x:v>
      </x:c>
      <x:c r="F24" s="28" t="str">
        <x:v>لم يبدأ</x:v>
      </x:c>
      <x:c r="G24" s="28" t="str">
        <x:v>Sources</x:v>
      </x:c>
      <x:c r="H24" s="28" t="str">
        <x:v>P0</x:v>
      </x:c>
    </x:row>
    <x:row r="25" ht="43" customHeight="1">
      <x:c r="A25" s="28" t="str">
        <x:v>J20</x:v>
      </x:c>
      <x:c r="B25" s="28" t="str">
        <x:v>Presentation / العرض</x:v>
      </x:c>
      <x:c r="C25" s="28" t="str">
        <x:v>أسئلة صعبة مجاب عنها</x:v>
      </x:c>
      <x:c r="D25" s="28" t="str">
        <x:v>10 أسئلة محددة</x:v>
      </x:c>
      <x:c r="E25" s="28" t="str">
        <x:v>FAQ دليل حي</x:v>
      </x:c>
      <x:c r="F25" s="28" t="str">
        <x:v>لم يبدأ</x:v>
      </x:c>
      <x:c r="G25" s="28" t="str">
        <x:v>FAQ</x:v>
      </x:c>
      <x:c r="H25" s="28" t="str">
        <x:v>P0</x:v>
      </x:c>
    </x:row>
    <x:row r="26" ht="43" customHeight="1">
      <x:c r="A26" s="28" t="str">
        <x:v>J21</x:v>
      </x:c>
      <x:c r="B26" s="28" t="str">
        <x:v>أهلية</x:v>
      </x:c>
      <x:c r="C26" s="28" t="str">
        <x:v>هل يسمح تقديم البناء السابق</x:v>
      </x:c>
      <x:c r="D26" s="28" t="str">
        <x:v>قرار كتابي</x:v>
      </x:c>
      <x:c r="E26" s="28" t="str">
        <x:v>قبل أي رفع</x:v>
      </x:c>
      <x:c r="F26" s="28" t="str">
        <x:v>محظور حتى التحقق</x:v>
      </x:c>
      <x:c r="G26" s="28" t="str">
        <x:v>S03</x:v>
      </x:c>
      <x:c r="H26" s="28" t="str">
        <x:v>حرج</x:v>
      </x:c>
    </x:row>
    <x:row r="27" ht="43" customHeight="1">
      <x:c r="A27" s="28" t="str">
        <x:v>J22</x:v>
      </x:c>
      <x:c r="B27" s="28" t="str">
        <x:v>أهلية</x:v>
      </x:c>
      <x:c r="C27" s="28" t="str">
        <x:v>كل عضو مسجل</x:v>
      </x:c>
      <x:c r="D27" s="28" t="str">
        <x:v>أسماء فريق متطابقة</x:v>
      </x:c>
      <x:c r="E27" s="28" t="str">
        <x:v>لوحة الموقع</x:v>
      </x:c>
      <x:c r="F27" s="28" t="str">
        <x:v>لم يبدأ</x:v>
      </x:c>
      <x:c r="G27" s="28" t="str">
        <x:v>S01</x:v>
      </x:c>
      <x:c r="H27" s="28" t="str">
        <x:v>حرج</x:v>
      </x:c>
    </x:row>
    <x:row r="28" ht="43" customHeight="1">
      <x:c r="A28" s="28" t="str">
        <x:v>J23</x:v>
      </x:c>
      <x:c r="B28" s="28" t="str">
        <x:v>أهلية</x:v>
      </x:c>
      <x:c r="C28" s="28" t="str">
        <x:v>الروابط ذات التراخيص</x:v>
      </x:c>
      <x:c r="D28" s="28" t="str">
        <x:v>سجل الأصول</x:v>
      </x:c>
      <x:c r="E28" s="28" t="str">
        <x:v>ملف Attribution</x:v>
      </x:c>
      <x:c r="F28" s="28" t="str">
        <x:v>لم يبدأ</x:v>
      </x:c>
      <x:c r="G28" s="28" t="str">
        <x:v>S13</x:v>
      </x:c>
      <x:c r="H28" s="28" t="str">
        <x:v>حرج</x:v>
      </x:c>
    </x:row>
    <x:row r="29" ht="43" customHeight="1">
      <x:c r="A29" s="28" t="str">
        <x:v>J24</x:v>
      </x:c>
      <x:c r="B29" s="28" t="str">
        <x:v>تقديم</x:v>
      </x:c>
      <x:c r="C29" s="28" t="str">
        <x:v>صفحة المشروع مكتملة</x:v>
      </x:c>
      <x:c r="D29" s="28" t="str">
        <x:v>كل حقول النسخة 2026</x:v>
      </x:c>
      <x:c r="E29" s="28" t="str">
        <x:v>مراجعة ثانية</x:v>
      </x:c>
      <x:c r="F29" s="28" t="str">
        <x:v>لم يبدأ</x:v>
      </x:c>
      <x:c r="G29" s="28" t="str">
        <x:v>S01</x:v>
      </x:c>
      <x:c r="H29" s="28" t="str">
        <x:v>حرج</x:v>
      </x:c>
    </x:row>
    <x:row r="30" ht="43" customHeight="1">
      <x:c r="A30" s="28" t="str">
        <x:v>J25</x:v>
      </x:c>
      <x:c r="B30" s="28" t="str">
        <x:v>تقديم</x:v>
      </x:c>
      <x:c r="C30" s="28" t="str">
        <x:v>التسليم تم قبل 23:59</x:v>
      </x:c>
      <x:c r="D30" s="28" t="str">
        <x:v>تأكيد رسمي من الموقع</x:v>
      </x:c>
      <x:c r="E30" s="28" t="str">
        <x:v>صورة/رسالة نجاح</x:v>
      </x:c>
      <x:c r="F30" s="28" t="str">
        <x:v>لم يبدأ</x:v>
      </x:c>
      <x:c r="G30" s="28" t="str">
        <x:v>S01</x:v>
      </x:c>
      <x:c r="H30" s="28" t="str">
        <x:v>حرج</x:v>
      </x:c>
    </x:row>
  </x:sheetData>
  <x:mergeCells>
    <x:mergeCell ref="A1:H1"/>
    <x:mergeCell ref="A2:H2"/>
    <x:mergeCell ref="A3:H3"/>
  </x:mergeCells>
  <x:conditionalFormatting sqref="F6:F30">
    <x:cfRule type="expression" dxfId="66" priority="1">
      <x:formula>F6="مكتمل"</x:formula>
    </x:cfRule>
    <x:cfRule type="expression" dxfId="67" priority="2">
      <x:formula>F6="محظور حتى التحقق"</x:formula>
    </x:cfRule>
    <x:cfRule type="expression" dxfId="68" priority="3">
      <x:formula>F6="يحتاج تحقق"</x:formula>
    </x:cfRule>
  </x:conditionalFormatting>
  <x:conditionalFormatting sqref="H6:H30">
    <x:cfRule type="expression" dxfId="69" priority="4">
      <x:formula>H6="P0"</x:formula>
    </x:cfRule>
    <x:cfRule type="expression" dxfId="70" priority="5">
      <x:formula>H6="حرج"</x:formula>
    </x:cfRule>
  </x:conditionalFormatting>
  <x:dataValidations count="1">
    <x:dataValidation type="list" sqref="F6:F30">
      <x:formula1>"موجود حاليًا,قيد التطوير,مخطط,يحتاج تحقق,مكتمل,لم يبدأ,مؤجل,محظور حتى التحقق,غير منطبق"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83a390677b4d6c"/>
  </x:tableParts>
</x:worksheet>
</file>

<file path=xl/worksheets/sheet2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25" hidden="0" customWidth="1"/>
    <x:col min="4" max="4" width="72" hidden="0" customWidth="1"/>
    <x:col min="5" max="5" width="51" hidden="0" customWidth="1"/>
    <x:col min="6" max="6" width="84" hidden="0" customWidth="1"/>
    <x:col min="7" max="7" width="30" hidden="0" customWidth="1"/>
    <x:col min="8" max="8" width="15" hidden="0" customWidth="1"/>
  </x:cols>
  <x:sheetData>
    <x:row r="1" ht="38" customHeight="1">
      <x:c r="A1" s="4" t="str">
        <x:v>المنافسون والمقارنات</x:v>
      </x:c>
      <x:c r="B1" s="4"/>
      <x:c r="C1" s="4"/>
      <x:c r="D1" s="4"/>
      <x:c r="E1" s="4"/>
      <x:c r="F1" s="4"/>
      <x:c r="G1" s="4"/>
      <x:c r="H1" s="4"/>
    </x:row>
    <x:row r="2" ht="29" customHeight="1">
      <x:c r="A2" s="10" t="str">
        <x:v>تفريق صارم بين فائزين موثقين وفِرق أعلنت وصفًا فقط وألعاب تجارية للإلهام</x:v>
      </x:c>
      <x:c r="B2" s="10"/>
      <x:c r="C2" s="10"/>
      <x:c r="D2" s="10"/>
      <x:c r="E2" s="10"/>
      <x:c r="F2" s="10"/>
      <x:c r="G2" s="10"/>
      <x:c r="H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  <x:c r="H3" s="15"/>
    </x:row>
    <x:row r="5" ht="34" customHeight="1">
      <x:c r="A5" s="21" t="str">
        <x:v>ID</x:v>
      </x:c>
      <x:c r="B5" s="21" t="str">
        <x:v>الجهة/اللعبة</x:v>
      </x:c>
      <x:c r="C5" s="21" t="str">
        <x:v>حالة المقارنة</x:v>
      </x:c>
      <x:c r="D5" s="21" t="str">
        <x:v>وصف موثق/محلل</x:v>
      </x:c>
      <x:c r="E5" s="21" t="str">
        <x:v>الدرس</x:v>
      </x:c>
      <x:c r="F5" s="21" t="str">
        <x:v>كيف نتميز دون ادعاء</x:v>
      </x:c>
      <x:c r="G5" s="21" t="str">
        <x:v>مستوى الدليل</x:v>
      </x:c>
      <x:c r="H5" s="21" t="str">
        <x:v>المصدر</x:v>
      </x:c>
    </x:row>
    <x:row r="6" ht="43" customHeight="1">
      <x:c r="A6" s="28" t="str">
        <x:v>COMP01</x:v>
      </x:c>
      <x:c r="B6" s="28" t="str">
        <x:v>LunarTech Ensemble</x:v>
      </x:c>
      <x:c r="C6" s="28" t="str">
        <x:v>فائز عالمي 2023</x:v>
      </x:c>
      <x:c r="D6" s="28" t="str">
        <x:v>موقع ولعبة لبيانات الزلازل القمرية</x:v>
      </x:c>
      <x:c r="E6" s="28" t="str">
        <x:v>سبق إثبات نجاح لعبة STEM</x:v>
      </x:c>
      <x:c r="F6" s="28" t="str">
        <x:v>اختلافنا: ربط أجهزة متعددة عبر ألغاز حسّية/قيادة</x:v>
      </x:c>
      <x:c r="G6" s="28" t="str">
        <x:v>موثق فائز</x:v>
      </x:c>
      <x:c r="H6" s="28" t="str">
        <x:v>S18</x:v>
      </x:c>
    </x:row>
    <x:row r="7" ht="43" customHeight="1">
      <x:c r="A7" s="28" t="str">
        <x:v>COMP02</x:v>
      </x:c>
      <x:c r="B7" s="28" t="str">
        <x:v>Zumorroda-X</x:v>
      </x:c>
      <x:c r="C7" s="28" t="str">
        <x:v>فائز عالمي 2025</x:v>
      </x:c>
      <x:c r="D7" s="28" t="str">
        <x:v>مشروع ألعاب/زراعة يعتمد بيانات NASA</x:v>
      </x:c>
      <x:c r="E7" s="28" t="str">
        <x:v>الألعاب التعليمية قابلة للمنافسة</x:v>
      </x:c>
      <x:c r="F7" s="28" t="str">
        <x:v>التميّز يحتاج اختبار متعة لا صور فقط</x:v>
      </x:c>
      <x:c r="G7" s="28" t="str">
        <x:v>موثق فائز</x:v>
      </x:c>
      <x:c r="H7" s="28" t="str">
        <x:v>S19</x:v>
      </x:c>
    </x:row>
    <x:row r="8" ht="43" customHeight="1">
      <x:c r="A8" s="28" t="str">
        <x:v>COMP03</x:v>
      </x:c>
      <x:c r="B8" s="28" t="str">
        <x:v>AFTERTRACE</x:v>
      </x:c>
      <x:c r="C8" s="28" t="str">
        <x:v>فريق 2026 معلن</x:v>
      </x:c>
      <x:c r="D8" s="28" t="str">
        <x:v>InSight + تفاعل بالبيانات الزلزالية</x:v>
      </x:c>
      <x:c r="E8" s="28" t="str">
        <x:v>تقارب محتوى علمي</x:v>
      </x:c>
      <x:c r="F8" s="28" t="str">
        <x:v>نركز على أنماط Apollo/Opportunity والربط السببي</x:v>
      </x:c>
      <x:c r="G8" s="28" t="str">
        <x:v>وصف الفريق فقط</x:v>
      </x:c>
      <x:c r="H8" s="28" t="str">
        <x:v>S20</x:v>
      </x:c>
    </x:row>
    <x:row r="9" ht="43" customHeight="1">
      <x:c r="A9" s="28" t="str">
        <x:v>COMP04</x:v>
      </x:c>
      <x:c r="B9" s="28" t="str">
        <x:v>Forgotten Signal</x:v>
      </x:c>
      <x:c r="C9" s="28" t="str">
        <x:v>فريق 2026 معلن</x:v>
      </x:c>
      <x:c r="D9" s="28" t="str">
        <x:v>فن وتصميم ورواية تاريخ الأجهزة</x:v>
      </x:c>
      <x:c r="E9" s="28" t="str">
        <x:v>تقارب الموضوع العام</x:v>
      </x:c>
      <x:c r="F9" s="28" t="str">
        <x:v>ميزة الفصلين القابلين للعب + المتحف</x:v>
      </x:c>
      <x:c r="G9" s="28" t="str">
        <x:v>وصف الفريق فقط</x:v>
      </x:c>
      <x:c r="H9" s="28" t="str">
        <x:v>S21</x:v>
      </x:c>
    </x:row>
    <x:row r="10" ht="43" customHeight="1">
      <x:c r="A10" s="28" t="str">
        <x:v>COMP05</x:v>
      </x:c>
      <x:c r="B10" s="28" t="str">
        <x:v>Big Bang Theory</x:v>
      </x:c>
      <x:c r="C10" s="28" t="str">
        <x:v>فريق 2026 معلن</x:v>
      </x:c>
      <x:c r="D10" s="28" t="str">
        <x:v>سرد تفاعلي للمعدات</x:v>
      </x:c>
      <x:c r="E10" s="28" t="str">
        <x:v>تقارب الظاهر من الوصف</x:v>
      </x:c>
      <x:c r="F10" s="28" t="str">
        <x:v>إظهار الآليات العملية بدل الوعود</x:v>
      </x:c>
      <x:c r="G10" s="28" t="str">
        <x:v>وصف الفريق فقط</x:v>
      </x:c>
      <x:c r="H10" s="28" t="str">
        <x:v>S22</x:v>
      </x:c>
    </x:row>
    <x:row r="11" ht="43" customHeight="1">
      <x:c r="A11" s="28" t="str">
        <x:v>COMP06</x:v>
      </x:c>
      <x:c r="B11" s="28" t="str">
        <x:v>Astro Hunters</x:v>
      </x:c>
      <x:c r="C11" s="28" t="str">
        <x:v>فريق 2026 معلن</x:v>
      </x:c>
      <x:c r="D11" s="28" t="str">
        <x:v>استكشاف آثار الأجهزة المتروكة</x:v>
      </x:c>
      <x:c r="E11" s="28" t="str">
        <x:v>تقارب الموضوع</x:v>
      </x:c>
      <x:c r="F11" s="28" t="str">
        <x:v>وضوح source matrix</x:v>
      </x:c>
      <x:c r="G11" s="28" t="str">
        <x:v>وصف الفريق فقط</x:v>
      </x:c>
      <x:c r="H11" s="28" t="str">
        <x:v>S23</x:v>
      </x:c>
    </x:row>
    <x:row r="12" ht="43" customHeight="1">
      <x:c r="A12" s="28" t="str">
        <x:v>COMP07</x:v>
      </x:c>
      <x:c r="B12" s="28" t="str">
        <x:v>NASA projects عامة</x:v>
      </x:c>
      <x:c r="C12" s="28" t="str">
        <x:v>مصادر عامة</x:v>
      </x:c>
      <x:c r="D12" s="28" t="str">
        <x:v>محتوى تاريخي جامد/صفحات نصية</x:v>
      </x:c>
      <x:c r="E12" s="28" t="str">
        <x:v>اكتشاف وجمع مفاتيح يجذب الناشئة</x:v>
      </x:c>
      <x:c r="F12" s="28" t="str">
        <x:v>لا تدعِ أن الجميع غير تفاعلي</x:v>
      </x:c>
      <x:c r="G12" s="28" t="str">
        <x:v>تحليل فئة</x:v>
      </x:c>
      <x:c r="H12" s="28" t="str">
        <x:v>S05</x:v>
      </x:c>
    </x:row>
    <x:row r="13" ht="43" customHeight="1">
      <x:c r="A13" s="28" t="str">
        <x:v>COMP08</x:v>
      </x:c>
      <x:c r="B13" s="28" t="str">
        <x:v>Outer Wilds</x:v>
      </x:c>
      <x:c r="C13" s="28" t="str">
        <x:v>لعبة تجارية مرجعية</x:v>
      </x:c>
      <x:c r="D13" s="28" t="str">
        <x:v>المعرفة مفتاح العالم</x:v>
      </x:c>
      <x:c r="E13" s="28" t="str">
        <x:v>طريقة تحفيز الفضول</x:v>
      </x:c>
      <x:c r="F13" s="28" t="str">
        <x:v>لا نسخ قصة/خرائط/كود</x:v>
      </x:c>
      <x:c r="G13" s="28" t="str">
        <x:v>إلهام تصميم فقط</x:v>
      </x:c>
      <x:c r="H13" s="28" t="str">
        <x:v>S28</x:v>
      </x:c>
    </x:row>
    <x:row r="14" ht="43" customHeight="1">
      <x:c r="A14" s="28" t="str">
        <x:v>COMP09</x:v>
      </x:c>
      <x:c r="B14" s="28" t="str">
        <x:v>COCOON</x:v>
      </x:c>
      <x:c r="C14" s="28" t="str">
        <x:v>لعبة تجارية مرجعية</x:v>
      </x:c>
      <x:c r="D14" s="28" t="str">
        <x:v>ألغاز مترابطة بأفعال قليلة</x:v>
      </x:c>
      <x:c r="E14" s="28" t="str">
        <x:v>زيادة عمق اللغز من حركة بسيطة</x:v>
      </x:c>
      <x:c r="F14" s="28" t="str">
        <x:v>لا نسخ الأصول</x:v>
      </x:c>
      <x:c r="G14" s="28" t="str">
        <x:v>إلهام تصميم فقط</x:v>
      </x:c>
      <x:c r="H14" s="28" t="str">
        <x:v>S28</x:v>
      </x:c>
    </x:row>
    <x:row r="15" ht="43" customHeight="1">
      <x:c r="A15" s="28" t="str">
        <x:v>COMP10</x:v>
      </x:c>
      <x:c r="B15" s="28" t="str">
        <x:v>Astro Bot</x:v>
      </x:c>
      <x:c r="C15" s="28" t="str">
        <x:v>لعبة تجارية مرجعية</x:v>
      </x:c>
      <x:c r="D15" s="28" t="str">
        <x:v>متعة الحركة والدخول السريع</x:v>
      </x:c>
      <x:c r="E15" s="28" t="str">
        <x:v>أولوية game feel</x:v>
      </x:c>
      <x:c r="F15" s="28" t="str">
        <x:v>لا مقارنة جودة ميزانية</x:v>
      </x:c>
      <x:c r="G15" s="28" t="str">
        <x:v>إلهام تصميم فقط</x:v>
      </x:c>
      <x:c r="H15" s="28" t="str">
        <x:v>S28</x:v>
      </x:c>
    </x:row>
    <x:row r="16" ht="43" customHeight="1">
      <x:c r="A16" s="28" t="str">
        <x:v>COMP11</x:v>
      </x:c>
      <x:c r="B16" s="28" t="str">
        <x:v>Kerbal Space Program</x:v>
      </x:c>
      <x:c r="C16" s="28" t="str">
        <x:v>مرجع استكشاف</x:v>
      </x:c>
      <x:c r="D16" s="28" t="str">
        <x:v>العلم عبر أنظمة قابلة للفشل</x:v>
      </x:c>
      <x:c r="E16" s="28" t="str">
        <x:v>تبسيط منحنى التعلم</x:v>
      </x:c>
      <x:c r="F16" s="28" t="str">
        <x:v>غير مناسب نسخ المحاكاة الثقيلة</x:v>
      </x:c>
      <x:c r="G16" s="28" t="str">
        <x:v>إلهام تصميم فقط</x:v>
      </x:c>
      <x:c r="H16" s="28" t="str">
        <x:v>S28</x:v>
      </x:c>
    </x:row>
    <x:row r="17" ht="43" customHeight="1">
      <x:c r="A17" s="28" t="str">
        <x:v>COMP12</x:v>
      </x:c>
      <x:c r="B17" s="28" t="str">
        <x:v>The Witness</x:v>
      </x:c>
      <x:c r="C17" s="28" t="str">
        <x:v>مرجع ألغاز</x:v>
      </x:c>
      <x:c r="D17" s="28" t="str">
        <x:v>أسرار مرتبطة بالمكان</x:v>
      </x:c>
      <x:c r="E17" s="28" t="str">
        <x:v>تلميحات بصرية بدون شرح</x:v>
      </x:c>
      <x:c r="F17" s="28" t="str">
        <x:v>لا تتبع جودة محتوى مدرسي مباشرة</x:v>
      </x:c>
      <x:c r="G17" s="28" t="str">
        <x:v>إلهام تصميم فقط</x:v>
      </x:c>
      <x:c r="H17" s="28" t="str">
        <x:v>S28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3" hidden="0" customWidth="1"/>
    <x:col min="3" max="3" width="25" hidden="0" customWidth="1"/>
    <x:col min="4" max="4" width="18" hidden="0" customWidth="1"/>
    <x:col min="5" max="5" width="66" hidden="0" customWidth="1"/>
    <x:col min="6" max="6" width="76" hidden="0" customWidth="1"/>
    <x:col min="7" max="7" width="74" hidden="0" customWidth="1"/>
    <x:col min="8" max="8" width="47" hidden="0" customWidth="1"/>
  </x:cols>
  <x:sheetData>
    <x:row r="1" ht="38" customHeight="1">
      <x:c r="A1" s="4" t="str">
        <x:v>مرجع 35 لعبة</x:v>
      </x:c>
      <x:c r="B1" s="4"/>
      <x:c r="C1" s="4"/>
      <x:c r="D1" s="4"/>
      <x:c r="E1" s="4"/>
      <x:c r="F1" s="4"/>
      <x:c r="G1" s="4"/>
      <x:c r="H1" s="4"/>
    </x:row>
    <x:row r="2" ht="29" customHeight="1">
      <x:c r="A2" s="10" t="str">
        <x:v>نقل انتقائي من ملف بحث سابق موجود في ملفات المحادثة؛ لا يعني أننا تحققنا من جميع بياناته بشكل مستقل</x:v>
      </x:c>
      <x:c r="B2" s="10"/>
      <x:c r="C2" s="10"/>
      <x:c r="D2" s="10"/>
      <x:c r="E2" s="10"/>
      <x:c r="F2" s="10"/>
      <x:c r="G2" s="10"/>
      <x:c r="H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  <x:c r="H3" s="15"/>
    </x:row>
    <x:row r="5" ht="34" customHeight="1">
      <x:c r="A5" s="21" t="str">
        <x:v>ID</x:v>
      </x:c>
      <x:c r="B5" s="21" t="str">
        <x:v>اللعبة</x:v>
      </x:c>
      <x:c r="C5" s="21" t="str">
        <x:v>النوع</x:v>
      </x:c>
      <x:c r="D5" s="21" t="str">
        <x:v>نمط اللعب</x:v>
      </x:c>
      <x:c r="E5" s="21" t="str">
        <x:v>مبدأ النجاح</x:v>
      </x:c>
      <x:c r="F5" s="21" t="str">
        <x:v>تطبيق على مشروعنا</x:v>
      </x:c>
      <x:c r="G5" s="21" t="str">
        <x:v>خطر التنفيذ</x:v>
      </x:c>
      <x:c r="H5" s="21" t="str">
        <x:v>درجة التوثيق</x:v>
      </x:c>
    </x:row>
    <x:row r="6" ht="43" customHeight="1">
      <x:c r="A6" s="28" t="str">
        <x:v>G01</x:v>
      </x:c>
      <x:c r="B6" s="28" t="str">
        <x:v>Astro Bot</x:v>
      </x:c>
      <x:c r="C6" s="28" t="str">
        <x:v>منصات واستكشاف</x:v>
      </x:c>
      <x:c r="D6" s="28" t="str">
        <x:v>فردي</x:v>
      </x:c>
      <x:c r="E6" s="28" t="str">
        <x:v>اجعل الحركة نفسها ممتعة.</x:v>
      </x:c>
      <x:c r="F6" s="28" t="str">
        <x:v>روبوت يجمع عينات ويصلح أجهزة علمية.</x:v>
      </x:c>
      <x:c r="G6" s="28" t="str">
        <x:v>تعدد القدرات يضاعف تكلفة تصميم المراحل.</x:v>
      </x:c>
      <x:c r="H6" s="28" t="str">
        <x:v>بحث سابق للفريق؛ محتوى إلهام غير مصادق خارجيًا</x:v>
      </x:c>
    </x:row>
    <x:row r="7" ht="43" customHeight="1">
      <x:c r="A7" s="28" t="str">
        <x:v>G02</x:v>
      </x:c>
      <x:c r="B7" s="28" t="str">
        <x:v>Split Fiction</x:v>
      </x:c>
      <x:c r="C7" s="28" t="str">
        <x:v>مغامرة تعاونية</x:v>
      </x:c>
      <x:c r="D7" s="28" t="str">
        <x:v>لاعبان</x:v>
      </x:c>
      <x:c r="E7" s="28" t="str">
        <x:v>التعاون أقوى عندما يكمل كل دور الآخر.</x:v>
      </x:c>
      <x:c r="F7" s="28" t="str">
        <x:v>رائد يتحرك ومراقب يقرأ بيانات المهمة.</x:v>
      </x:c>
      <x:c r="G7" s="28" t="str">
        <x:v>الاعتماد على شريك والشبكة قد يعطل عرض الهاكثون.</x:v>
      </x:c>
      <x:c r="H7" s="28" t="str">
        <x:v>بحث سابق للفريق؛ محتوى إلهام غير مصادق خارجيًا</x:v>
      </x:c>
    </x:row>
    <x:row r="8" ht="43" customHeight="1">
      <x:c r="A8" s="28" t="str">
        <x:v>G03</x:v>
      </x:c>
      <x:c r="B8" s="28" t="str">
        <x:v>COCOON</x:v>
      </x:c>
      <x:c r="C8" s="28" t="str">
        <x:v>ألغاز مكانية</x:v>
      </x:c>
      <x:c r="D8" s="28" t="str">
        <x:v>فردي</x:v>
      </x:c>
      <x:c r="E8" s="28" t="str">
        <x:v>عمق كبير من أفعال قليلة.</x:v>
      </x:c>
      <x:c r="F8" s="28" t="str">
        <x:v>التبديل بين طبقات بيانات موقع فضائي لحل مسار.</x:v>
      </x:c>
      <x:c r="G8" s="28" t="str">
        <x:v>تحويل علم حقيقي إلى سحر غير مفسر.</x:v>
      </x:c>
      <x:c r="H8" s="28" t="str">
        <x:v>بحث سابق للفريق؛ محتوى إلهام غير مصادق خارجيًا</x:v>
      </x:c>
    </x:row>
    <x:row r="9" ht="43" customHeight="1">
      <x:c r="A9" s="28" t="str">
        <x:v>G04</x:v>
      </x:c>
      <x:c r="B9" s="28" t="str">
        <x:v>Outer Wilds</x:v>
      </x:c>
      <x:c r="C9" s="28" t="str">
        <x:v>استكشاف وألغاز</x:v>
      </x:c>
      <x:c r="D9" s="28" t="str">
        <x:v>فردي</x:v>
      </x:c>
      <x:c r="E9" s="28" t="str">
        <x:v>المعلومة تصبح أداة لعب.</x:v>
      </x:c>
      <x:c r="F9" s="28" t="str">
        <x:v>اكتشاف سبب تعطل محطة من قراءات متغيرة.</x:v>
      </x:c>
      <x:c r="G9" s="28" t="str">
        <x:v>كشف الحل مبكرًا يزيل دافع الاستكشاف.</x:v>
      </x:c>
      <x:c r="H9" s="28" t="str">
        <x:v>بحث سابق للفريق؛ محتوى إلهام غير مصادق خارجيًا</x:v>
      </x:c>
    </x:row>
    <x:row r="10" ht="43" customHeight="1">
      <x:c r="A10" s="28" t="str">
        <x:v>G05</x:v>
      </x:c>
      <x:c r="B10" s="28" t="str">
        <x:v>Clair Obscur: Expedition 33</x:v>
      </x:c>
      <x:c r="C10" s="28" t="str">
        <x:v>تقمص أدوار وقتال</x:v>
      </x:c>
      <x:c r="D10" s="28" t="str">
        <x:v>فردي</x:v>
      </x:c>
      <x:c r="E10" s="28" t="str">
        <x:v>الهوية المتماسكة تجعل المهمة قابلة للتذكر.</x:v>
      </x:c>
      <x:c r="F10" s="28" t="str">
        <x:v>فريق علمي له أدوار وقصة قصيرة ذات هدف واضح.</x:v>
      </x:c>
      <x:c r="G10" s="28" t="str">
        <x:v>تقليد الإنتاج السينمائي يتجاوز نطاق الهاكثون.</x:v>
      </x:c>
      <x:c r="H10" s="28" t="str">
        <x:v>بحث سابق للفريق؛ محتوى إلهام غير مصادق خارجيًا</x:v>
      </x:c>
    </x:row>
    <x:row r="11" ht="43" customHeight="1">
      <x:c r="A11" s="28" t="str">
        <x:v>G06</x:v>
      </x:c>
      <x:c r="B11" s="28" t="str">
        <x:v>Hades</x:v>
      </x:c>
      <x:c r="C11" s="28" t="str">
        <x:v>أكشن ومحاولات متكررة</x:v>
      </x:c>
      <x:c r="D11" s="28" t="str">
        <x:v>فردي</x:v>
      </x:c>
      <x:c r="E11" s="28" t="str">
        <x:v>اجعل الفشل يترك تعلمًا أو تقدمًا واضحًا.</x:v>
      </x:c>
      <x:c r="F11" s="28" t="str">
        <x:v>محاولات بعثة تحت ظروف مختلفة مع تقرير تعلم.</x:v>
      </x:c>
      <x:c r="G11" s="28" t="str">
        <x:v>الترقيات قد تسمح بالفوز دون فهم السبب العلمي.</x:v>
      </x:c>
      <x:c r="H11" s="28" t="str">
        <x:v>بحث سابق للفريق؛ محتوى إلهام غير مصادق خارجيًا</x:v>
      </x:c>
    </x:row>
    <x:row r="12" ht="43" customHeight="1">
      <x:c r="A12" s="28" t="str">
        <x:v>G07</x:v>
      </x:c>
      <x:c r="B12" s="28" t="str">
        <x:v>Balatro</x:v>
      </x:c>
      <x:c r="C12" s="28" t="str">
        <x:v>بطاقات وتركيبات</x:v>
      </x:c>
      <x:c r="D12" s="28" t="str">
        <x:v>فردي</x:v>
      </x:c>
      <x:c r="E12" s="28" t="str">
        <x:v>قواعد قليلة تنتج خيارات متفاعلة.</x:v>
      </x:c>
      <x:c r="F12" s="28" t="str">
        <x:v>بطاقات أجهزة مهمة تتفاعل ضمن الكتلة والطاقة.</x:v>
      </x:c>
      <x:c r="G12" s="28" t="str">
        <x:v>اختيار عشوائي يطغى على التفكير الهندسي.</x:v>
      </x:c>
      <x:c r="H12" s="28" t="str">
        <x:v>بحث سابق للفريق؛ محتوى إلهام غير مصادق خارجيًا</x:v>
      </x:c>
    </x:row>
    <x:row r="13" ht="43" customHeight="1">
      <x:c r="A13" s="28" t="str">
        <x:v>G08</x:v>
      </x:c>
      <x:c r="B13" s="28" t="str">
        <x:v>Stray</x:v>
      </x:c>
      <x:c r="C13" s="28" t="str">
        <x:v>مغامرة واستكشاف</x:v>
      </x:c>
      <x:c r="D13" s="28" t="str">
        <x:v>فردي</x:v>
      </x:c>
      <x:c r="E13" s="28" t="str">
        <x:v>قدرات الشخصية تحدد تصميم المكان.</x:v>
      </x:c>
      <x:c r="F13" s="28" t="str">
        <x:v>عربة صغيرة تدخل مسارات لا يستطيع الرائد دخولها.</x:v>
      </x:c>
      <x:c r="G13" s="28" t="str">
        <x:v>الزينة قد تطغى على القرار العلمي.</x:v>
      </x:c>
      <x:c r="H13" s="28" t="str">
        <x:v>بحث سابق للفريق؛ محتوى إلهام غير مصادق خارجيًا</x:v>
      </x:c>
    </x:row>
    <x:row r="14" ht="43" customHeight="1">
      <x:c r="A14" s="28" t="str">
        <x:v>G09</x:v>
      </x:c>
      <x:c r="B14" s="28" t="str">
        <x:v>Sky: Children of the Light</x:v>
      </x:c>
      <x:c r="C14" s="28" t="str">
        <x:v>استكشاف اجتماعي</x:v>
      </x:c>
      <x:c r="D14" s="28" t="str">
        <x:v>متعدد اللاعبين</x:v>
      </x:c>
      <x:c r="E14" s="28" t="str">
        <x:v>يمكن للتعاون الهادئ أن يكون المكافأة.</x:v>
      </x:c>
      <x:c r="F14" s="28" t="str">
        <x:v>مساعدة فريق بعثة على استعادة شبكة علمية.</x:v>
      </x:c>
      <x:c r="G14" s="28" t="str">
        <x:v>بناء مجتمع ومواسم يحتاج تشغيلًا طويل المدى.</x:v>
      </x:c>
      <x:c r="H14" s="28" t="str">
        <x:v>بحث سابق للفريق؛ محتوى إلهام غير مصادق خارجيًا</x:v>
      </x:c>
    </x:row>
    <x:row r="15" ht="43" customHeight="1">
      <x:c r="A15" s="28" t="str">
        <x:v>G10</x:v>
      </x:c>
      <x:c r="B15" s="28" t="str">
        <x:v>Into the Breach</x:v>
      </x:c>
      <x:c r="C15" s="28" t="str">
        <x:v>تكتيك بالأدوار</x:v>
      </x:c>
      <x:c r="D15" s="28" t="str">
        <x:v>فردي</x:v>
      </x:c>
      <x:c r="E15" s="28" t="str">
        <x:v>وضوح العاقبة يجعل القرار قابلًا للتعلم.</x:v>
      </x:c>
      <x:c r="F15" s="28" t="str">
        <x:v>إدارة مخاطر محطة قبل وقوعها بجولة.</x:v>
      </x:c>
      <x:c r="G15" s="28" t="str">
        <x:v>حل وحيد متكرر يقلل قيمة إعادة اللعب.</x:v>
      </x:c>
      <x:c r="H15" s="28" t="str">
        <x:v>بحث سابق للفريق؛ محتوى إلهام غير مصادق خارجيًا</x:v>
      </x:c>
    </x:row>
    <x:row r="16" ht="43" customHeight="1">
      <x:c r="A16" s="28" t="str">
        <x:v>G11</x:v>
      </x:c>
      <x:c r="B16" s="28" t="str">
        <x:v>Minecraft</x:v>
      </x:c>
      <x:c r="C16" s="28" t="str">
        <x:v>بناء وبقاء</x:v>
      </x:c>
      <x:c r="D16" s="28" t="str">
        <x:v>فردي أو جماعي حسب النسخة</x:v>
      </x:c>
      <x:c r="E16" s="28" t="str">
        <x:v>امنح اللاعب ملكية الحل.</x:v>
      </x:c>
      <x:c r="F16" s="28" t="str">
        <x:v>تركيب موئل بوحدات وظيفية محددة.</x:v>
      </x:c>
      <x:c r="G16" s="28" t="str">
        <x:v>العالم المفتوح قد يشتت هدف التحدي.</x:v>
      </x:c>
      <x:c r="H16" s="28" t="str">
        <x:v>بحث سابق للفريق؛ محتوى إلهام غير مصادق خارجيًا</x:v>
      </x:c>
    </x:row>
    <x:row r="17" ht="43" customHeight="1">
      <x:c r="A17" s="28" t="str">
        <x:v>G12</x:v>
      </x:c>
      <x:c r="B17" s="28" t="str">
        <x:v>Portal 2</x:v>
      </x:c>
      <x:c r="C17" s="28" t="str">
        <x:v>ألغاز وفيزياء</x:v>
      </x:c>
      <x:c r="D17" s="28" t="str">
        <x:v>فردي أو تعاوني لشخصين</x:v>
      </x:c>
      <x:c r="E17" s="28" t="str">
        <x:v>التعليم جزء من ترتيب الألغاز.</x:v>
      </x:c>
      <x:c r="F17" s="28" t="str">
        <x:v>سلسلة ألغاز توصيل طاقة وقياس علمي.</x:v>
      </x:c>
      <x:c r="G17" s="28" t="str">
        <x:v>حل الغرفة قد يكون تخمينًا إذا غابت الإشارات.</x:v>
      </x:c>
      <x:c r="H17" s="28" t="str">
        <x:v>بحث سابق للفريق؛ محتوى إلهام غير مصادق خارجيًا</x:v>
      </x:c>
    </x:row>
    <x:row r="18" ht="43" customHeight="1">
      <x:c r="A18" s="28" t="str">
        <x:v>G13</x:v>
      </x:c>
      <x:c r="B18" s="28" t="str">
        <x:v>Zelda: Breath of the Wild</x:v>
      </x:c>
      <x:c r="C18" s="28" t="str">
        <x:v>مغامرة عالم مفتوح</x:v>
      </x:c>
      <x:c r="D18" s="28" t="str">
        <x:v>فردي</x:v>
      </x:c>
      <x:c r="E18" s="28" t="str">
        <x:v>المكان نفسه يولد المشكلة والحل.</x:v>
      </x:c>
      <x:c r="F18" s="28" t="str">
        <x:v>تخطيط مسار عربة وفق تضاريس وطاقة.</x:v>
      </x:c>
      <x:c r="G18" s="28" t="str">
        <x:v>مساحة كبيرة بلا قرارات مختلفة.</x:v>
      </x:c>
      <x:c r="H18" s="28" t="str">
        <x:v>بحث سابق للفريق؛ محتوى إلهام غير مصادق خارجيًا</x:v>
      </x:c>
    </x:row>
    <x:row r="19" ht="43" customHeight="1">
      <x:c r="A19" s="28" t="str">
        <x:v>G14</x:v>
      </x:c>
      <x:c r="B19" s="28" t="str">
        <x:v>Tetris</x:v>
      </x:c>
      <x:c r="C19" s="28" t="str">
        <x:v>ألغاز سريعة</x:v>
      </x:c>
      <x:c r="D19" s="28" t="str">
        <x:v>فردي في النطاق المدروس</x:v>
      </x:c>
      <x:c r="E19" s="28" t="str">
        <x:v>قرار صغير متكرر يمكن أن يصنع عمقًا.</x:v>
      </x:c>
      <x:c r="F19" s="28" t="str">
        <x:v>ترتيب حمولة ضمن مساحة وقيود مهمة.</x:v>
      </x:c>
      <x:c r="G19" s="28" t="str">
        <x:v>تحويل التعلم إلى ضغط سرعة فقط.</x:v>
      </x:c>
      <x:c r="H19" s="28" t="str">
        <x:v>بحث سابق للفريق؛ محتوى إلهام غير مصادق خارجيًا</x:v>
      </x:c>
    </x:row>
    <x:row r="20" ht="43" customHeight="1">
      <x:c r="A20" s="28" t="str">
        <x:v>G15</x:v>
      </x:c>
      <x:c r="B20" s="28" t="str">
        <x:v>Stardew Valley</x:v>
      </x:c>
      <x:c r="C20" s="28" t="str">
        <x:v>محاكاة حياة وزراعة</x:v>
      </x:c>
      <x:c r="D20" s="28" t="str">
        <x:v>فردي؛ التعاون خارج هذا التحليل</x:v>
      </x:c>
      <x:c r="E20" s="28" t="str">
        <x:v>التقدم المرئي يربط اللاعب بمشروعه.</x:v>
      </x:c>
      <x:c r="F20" s="28" t="str">
        <x:v>دورة زراعية تتأثر ببيانات الماء والبيئة.</x:v>
      </x:c>
      <x:c r="G20" s="28" t="str">
        <x:v>تكرار لعبة زراعة دون تنفيذ مطلب الدورة الزراعية.</x:v>
      </x:c>
      <x:c r="H20" s="28" t="str">
        <x:v>بحث سابق للفريق؛ محتوى إلهام غير مصادق خارجيًا</x:v>
      </x:c>
    </x:row>
    <x:row r="21" ht="43" customHeight="1">
      <x:c r="A21" s="28" t="str">
        <x:v>G16</x:v>
      </x:c>
      <x:c r="B21" s="28" t="str">
        <x:v>Civilization VI</x:v>
      </x:c>
      <x:c r="C21" s="28" t="str">
        <x:v>استراتيجية بالأدوار</x:v>
      </x:c>
      <x:c r="D21" s="28" t="str">
        <x:v>فردي أو متعدد</x:v>
      </x:c>
      <x:c r="E21" s="28" t="str">
        <x:v>اجعل تكلفة الفرصة البديلة واضحة.</x:v>
      </x:c>
      <x:c r="F21" s="28" t="str">
        <x:v>تخطيط برنامج فضائي بميزانية وهدف علمي.</x:v>
      </x:c>
      <x:c r="G21" s="28" t="str">
        <x:v>تأخر النتيجة كثيرًا قد يخفي العلاقة السببية.</x:v>
      </x:c>
      <x:c r="H21" s="28" t="str">
        <x:v>بحث سابق للفريق؛ محتوى إلهام غير مصادق خارجيًا</x:v>
      </x:c>
    </x:row>
    <x:row r="22" ht="43" customHeight="1">
      <x:c r="A22" s="28" t="str">
        <x:v>G17</x:v>
      </x:c>
      <x:c r="B22" s="28" t="str">
        <x:v>Super Mario Odyssey</x:v>
      </x:c>
      <x:c r="C22" s="28" t="str">
        <x:v>منصات واستكشاف</x:v>
      </x:c>
      <x:c r="D22" s="28" t="str">
        <x:v>فردي أساسًا</x:v>
      </x:c>
      <x:c r="E22" s="28" t="str">
        <x:v>تغيير الأداة يعيد تفسير المكان.</x:v>
      </x:c>
      <x:c r="F22" s="28" t="str">
        <x:v>تبديل رأس عربة بين حفر وتصوير ونقل.</x:v>
      </x:c>
      <x:c r="G22" s="28" t="str">
        <x:v>كل قدرة جديدة تتطلب محتوى واختبارًا إضافيًا.</x:v>
      </x:c>
      <x:c r="H22" s="28" t="str">
        <x:v>بحث سابق للفريق؛ محتوى إلهام غير مصادق خارجيًا</x:v>
      </x:c>
    </x:row>
    <x:row r="23" ht="43" customHeight="1">
      <x:c r="A23" s="28" t="str">
        <x:v>G18</x:v>
      </x:c>
      <x:c r="B23" s="28" t="str">
        <x:v>Fortnite</x:v>
      </x:c>
      <x:c r="C23" s="28" t="str">
        <x:v>تنافس وبقاء</x:v>
      </x:c>
      <x:c r="D23" s="28" t="str">
        <x:v>متعدد اللاعبين</x:v>
      </x:c>
      <x:c r="E23" s="28" t="str">
        <x:v>ضغط البيئة يحرك القرار.</x:v>
      </x:c>
      <x:c r="F23" s="28" t="str">
        <x:v>نافذة زمنية معلنة لإنجاز مهمة قبل تغير الظروف.</x:v>
      </x:c>
      <x:c r="G23" s="28" t="str">
        <x:v>التنافس قد يكافئ السرعة بدل جودة القرار العلمي.</x:v>
      </x:c>
      <x:c r="H23" s="28" t="str">
        <x:v>بحث سابق للفريق؛ محتوى إلهام غير مصادق خارجيًا</x:v>
      </x:c>
    </x:row>
    <x:row r="24" ht="43" customHeight="1">
      <x:c r="A24" s="28" t="str">
        <x:v>G19</x:v>
      </x:c>
      <x:c r="B24" s="28" t="str">
        <x:v>Red Dead Redemption 2</x:v>
      </x:c>
      <x:c r="C24" s="28" t="str">
        <x:v>مغامرة وسرد</x:v>
      </x:c>
      <x:c r="D24" s="28" t="str">
        <x:v>فردي</x:v>
      </x:c>
      <x:c r="E24" s="28" t="str">
        <x:v>للقرار أثر إنساني يمكن تذكره.</x:v>
      </x:c>
      <x:c r="F24" s="28" t="str">
        <x:v>طاقم بعثة يتأثر بتوزيع الموارد.</x:v>
      </x:c>
      <x:c r="G24" s="28" t="str">
        <x:v>الواقعية البصرية والسرد الطويل يستهلكان الوقت.</x:v>
      </x:c>
      <x:c r="H24" s="28" t="str">
        <x:v>بحث سابق للفريق؛ محتوى إلهام غير مصادق خارجيًا</x:v>
      </x:c>
    </x:row>
    <x:row r="25" ht="43" customHeight="1">
      <x:c r="A25" s="28" t="str">
        <x:v>G20</x:v>
      </x:c>
      <x:c r="B25" s="28" t="str">
        <x:v>Grand Theft Auto V</x:v>
      </x:c>
      <x:c r="C25" s="28" t="str">
        <x:v>عالم مفتوح ومهام</x:v>
      </x:c>
      <x:c r="D25" s="28" t="str">
        <x:v>فردي</x:v>
      </x:c>
      <x:c r="E25" s="28" t="str">
        <x:v>فصل التحضير عن التنفيذ يبني توقعًا للنتيجة.</x:v>
      </x:c>
      <x:c r="F25" s="28" t="str">
        <x:v>تجهيز بعثة ثم تشغيلها ومراجعة أدائها.</x:v>
      </x:c>
      <x:c r="G25" s="28" t="str">
        <x:v>عالم مفتوح كامل لا يلزم لإثبات الفكرة.</x:v>
      </x:c>
      <x:c r="H25" s="28" t="str">
        <x:v>بحث سابق للفريق؛ محتوى إلهام غير مصادق خارجيًا</x:v>
      </x:c>
    </x:row>
    <x:row r="26" ht="43" customHeight="1">
      <x:c r="A26" s="28" t="str">
        <x:v>G21</x:v>
      </x:c>
      <x:c r="B26" s="28" t="str">
        <x:v>Oxygen Not Included</x:v>
      </x:c>
      <x:c r="C26" s="28" t="str">
        <x:v>محاكاة مستعمرة</x:v>
      </x:c>
      <x:c r="D26" s="28" t="str">
        <x:v>فردي</x:v>
      </x:c>
      <x:c r="E26" s="28" t="str">
        <x:v>العلاقات بين الموارد تصنع اللعب.</x:v>
      </x:c>
      <x:c r="F26" s="28" t="str">
        <x:v>موئل يربط الكهرباء بإنتاج الأكسجين.</x:v>
      </x:c>
      <x:c r="G26" s="28" t="str">
        <x:v>محاكاة اللعبة ليست مرجعًا علميًا لمعدلات ناسا.</x:v>
      </x:c>
      <x:c r="H26" s="28" t="str">
        <x:v>بحث سابق للفريق؛ محتوى إلهام غير مصادق خارجيًا</x:v>
      </x:c>
    </x:row>
    <x:row r="27" ht="43" customHeight="1">
      <x:c r="A27" s="28" t="str">
        <x:v>G22</x:v>
      </x:c>
      <x:c r="B27" s="28" t="str">
        <x:v>Kerbal Space Program</x:v>
      </x:c>
      <x:c r="C27" s="28" t="str">
        <x:v>تصميم ومحاكاة فضاء</x:v>
      </x:c>
      <x:c r="D27" s="28" t="str">
        <x:v>فردي</x:v>
      </x:c>
      <x:c r="E27" s="28" t="str">
        <x:v>التصميم ثم الاختبار ثم التعديل هو الدرس.</x:v>
      </x:c>
      <x:c r="F27" s="28" t="str">
        <x:v>لعبة تصميم مهمة بقيود معلنة.</x:v>
      </x:c>
      <x:c r="G27" s="28" t="str">
        <x:v>لا تنقل ثوابت النظام الخيالي إلى محاكاة علمية حقيقية.</x:v>
      </x:c>
      <x:c r="H27" s="28" t="str">
        <x:v>بحث سابق للفريق؛ محتوى إلهام غير مصادق خارجيًا</x:v>
      </x:c>
    </x:row>
    <x:row r="28" ht="43" customHeight="1">
      <x:c r="A28" s="28" t="str">
        <x:v>G23</x:v>
      </x:c>
      <x:c r="B28" s="28" t="str">
        <x:v>Surviving Mars: Relaunched</x:v>
      </x:c>
      <x:c r="C28" s="28" t="str">
        <x:v>بناء مستعمرة</x:v>
      </x:c>
      <x:c r="D28" s="28" t="str">
        <x:v>فردي في التحليل</x:v>
      </x:c>
      <x:c r="E28" s="28" t="str">
        <x:v>الاحتياطي والصيانة جزء من التصميم.</x:v>
      </x:c>
      <x:c r="F28" s="28" t="str">
        <x:v>قاعدة قمرية تختبر تحمل انقطاع محدود.</x:v>
      </x:c>
      <x:c r="G28" s="28" t="str">
        <x:v>الخلط بين النسخ أو عرض الخيال كتصميم قابل للتنفيذ.</x:v>
      </x:c>
      <x:c r="H28" s="28" t="str">
        <x:v>بحث سابق للفريق؛ محتوى إلهام غير مصادق خارجيًا</x:v>
      </x:c>
    </x:row>
    <x:row r="29" ht="43" customHeight="1">
      <x:c r="A29" s="28" t="str">
        <x:v>G24</x:v>
      </x:c>
      <x:c r="B29" s="28" t="str">
        <x:v>Factorio</x:v>
      </x:c>
      <x:c r="C29" s="28" t="str">
        <x:v>أتمتة وإدارة إنتاج</x:v>
      </x:c>
      <x:c r="D29" s="28" t="str">
        <x:v>فردي أو جماعي</x:v>
      </x:c>
      <x:c r="E29" s="28" t="str">
        <x:v>أظهر مكان الاختناق بدل عرض رقم إجمالي فقط.</x:v>
      </x:c>
      <x:c r="F29" s="28" t="str">
        <x:v>سلسلة معالجة ماء أو إنتاج مورد في موئل.</x:v>
      </x:c>
      <x:c r="G29" s="28" t="str">
        <x:v>تعقيد السلاسل قد يحجب الهدف التعليمي.</x:v>
      </x:c>
      <x:c r="H29" s="28" t="str">
        <x:v>بحث سابق للفريق؛ محتوى إلهام غير مصادق خارجيًا</x:v>
      </x:c>
    </x:row>
    <x:row r="30" ht="43" customHeight="1">
      <x:c r="A30" s="28" t="str">
        <x:v>G25</x:v>
      </x:c>
      <x:c r="B30" s="28" t="str">
        <x:v>Frostpunk</x:v>
      </x:c>
      <x:c r="C30" s="28" t="str">
        <x:v>إدارة مجتمع وبقاء</x:v>
      </x:c>
      <x:c r="D30" s="28" t="str">
        <x:v>فردي</x:v>
      </x:c>
      <x:c r="E30" s="28" t="str">
        <x:v>الأرقام تصبح مهمة عندما تمثل أشخاصًا.</x:v>
      </x:c>
      <x:c r="F30" s="28" t="str">
        <x:v>مفاضلة شفافة في توزيع طاقة بعثة.</x:v>
      </x:c>
      <x:c r="G30" s="28" t="str">
        <x:v>معاقبة اللاعب أخلاقيًا دون توضيح البدائل.</x:v>
      </x:c>
      <x:c r="H30" s="28" t="str">
        <x:v>بحث سابق للفريق؛ محتوى إلهام غير مصادق خارجيًا</x:v>
      </x:c>
    </x:row>
    <x:row r="31" ht="43" customHeight="1">
      <x:c r="A31" s="28" t="str">
        <x:v>G26</x:v>
      </x:c>
      <x:c r="B31" s="28" t="str">
        <x:v>It Takes Two</x:v>
      </x:c>
      <x:c r="C31" s="28" t="str">
        <x:v>مغامرة وألغاز تعاونية</x:v>
      </x:c>
      <x:c r="D31" s="28" t="str">
        <x:v>لاعبان إلزاميًا</x:v>
      </x:c>
      <x:c r="E31" s="28" t="str">
        <x:v>الدوران المختلفان يولدان الحوار.</x:v>
      </x:c>
      <x:c r="F31" s="28" t="str">
        <x:v>مهندس أنظمة ورائد ينفذان إصلاحًا.</x:v>
      </x:c>
      <x:c r="G31" s="28" t="str">
        <x:v>لا تضف تعاونًا شكليًا يستطيع لاعب إنجازه وحده.</x:v>
      </x:c>
      <x:c r="H31" s="28" t="str">
        <x:v>بحث سابق للفريق؛ محتوى إلهام غير مصادق خارجيًا</x:v>
      </x:c>
    </x:row>
    <x:row r="32" ht="43" customHeight="1">
      <x:c r="A32" s="28" t="str">
        <x:v>G27</x:v>
      </x:c>
      <x:c r="B32" s="28" t="str">
        <x:v>Subnautica</x:v>
      </x:c>
      <x:c r="C32" s="28" t="str">
        <x:v>استكشاف وبقاء</x:v>
      </x:c>
      <x:c r="D32" s="28" t="str">
        <x:v>فردي</x:v>
      </x:c>
      <x:c r="E32" s="28" t="str">
        <x:v>مدى الاستكشاف يتحدد بقدرة التجهيز.</x:v>
      </x:c>
      <x:c r="F32" s="28" t="str">
        <x:v>عربة تعتمد مسافتها على الطاقة والحمولة.</x:v>
      </x:c>
      <x:c r="G32" s="28" t="str">
        <x:v>إطالة جمع الموارد تتحول إلى تكرار مرهق.</x:v>
      </x:c>
      <x:c r="H32" s="28" t="str">
        <x:v>بحث سابق للفريق؛ محتوى إلهام غير مصادق خارجيًا</x:v>
      </x:c>
    </x:row>
    <x:row r="33" ht="43" customHeight="1">
      <x:c r="A33" s="28" t="str">
        <x:v>G28</x:v>
      </x:c>
      <x:c r="B33" s="28" t="str">
        <x:v>The Last of Us</x:v>
      </x:c>
      <x:c r="C33" s="28" t="str">
        <x:v>مغامرة وبقاء سردي</x:v>
      </x:c>
      <x:c r="D33" s="28" t="str">
        <x:v>فردي</x:v>
      </x:c>
      <x:c r="E33" s="28" t="str">
        <x:v>الإتاحة جزء من تجربة اللعبة.</x:v>
      </x:c>
      <x:c r="F33" s="28" t="str">
        <x:v>إشارات نصية وصوتية ولونية مستقلة للإنذار.</x:v>
      </x:c>
      <x:c r="G33" s="28" t="str">
        <x:v>افتراض أن اللون وحده كافٍ للجميع.</x:v>
      </x:c>
      <x:c r="H33" s="28" t="str">
        <x:v>بحث سابق للفريق؛ محتوى إلهام غير مصادق خارجيًا</x:v>
      </x:c>
    </x:row>
    <x:row r="34" ht="43" customHeight="1">
      <x:c r="A34" s="28" t="str">
        <x:v>G29</x:v>
      </x:c>
      <x:c r="B34" s="28" t="str">
        <x:v>Zelda: Ocarina of Time</x:v>
      </x:c>
      <x:c r="C34" s="28" t="str">
        <x:v>مغامرة وألغاز</x:v>
      </x:c>
      <x:c r="D34" s="28" t="str">
        <x:v>فردي</x:v>
      </x:c>
      <x:c r="E34" s="28" t="str">
        <x:v>القدرة الجديدة تفتح معنى جديدًا للمكان.</x:v>
      </x:c>
      <x:c r="F34" s="28" t="str">
        <x:v>تصوير الموقع قبل حدث وبعده لفهم التغير.</x:v>
      </x:c>
      <x:c r="G34" s="28" t="str">
        <x:v>تحويل المقارنة الزمنية إلى تخمين بصري فقط.</x:v>
      </x:c>
      <x:c r="H34" s="28" t="str">
        <x:v>بحث سابق للفريق؛ محتوى إلهام غير مصادق خارجيًا</x:v>
      </x:c>
    </x:row>
    <x:row r="35" ht="43" customHeight="1">
      <x:c r="A35" s="28" t="str">
        <x:v>G30</x:v>
      </x:c>
      <x:c r="B35" s="28" t="str">
        <x:v>Half-Life 2</x:v>
      </x:c>
      <x:c r="C35" s="28" t="str">
        <x:v>أكشن وفيزياء</x:v>
      </x:c>
      <x:c r="D35" s="28" t="str">
        <x:v>فردي</x:v>
      </x:c>
      <x:c r="E35" s="28" t="str">
        <x:v>البيئة يمكن أن تكون أداة الحل.</x:v>
      </x:c>
      <x:c r="F35" s="28" t="str">
        <x:v>تحريك أجزاء لإصلاح آلية علمية.</x:v>
      </x:c>
      <x:c r="G35" s="28" t="str">
        <x:v>محرك فيزياء معقد لا يلزم للنسخة الأولى.</x:v>
      </x:c>
      <x:c r="H35" s="28" t="str">
        <x:v>بحث سابق للفريق؛ محتوى إلهام غير مصادق خارجيًا</x:v>
      </x:c>
    </x:row>
    <x:row r="36" ht="43" customHeight="1">
      <x:c r="A36" s="28" t="str">
        <x:v>G31</x:v>
      </x:c>
      <x:c r="B36" s="28" t="str">
        <x:v>The Witcher 3: Wild Hunt</x:v>
      </x:c>
      <x:c r="C36" s="28" t="str">
        <x:v>تقمص أدوار وعالم مفتوح</x:v>
      </x:c>
      <x:c r="D36" s="28" t="str">
        <x:v>فردي</x:v>
      </x:c>
      <x:c r="E36" s="28" t="str">
        <x:v>المهمة الجانبية تحتاج سؤالًا ونتيجة.</x:v>
      </x:c>
      <x:c r="F36" s="28" t="str">
        <x:v>قرار بعثة مبني على جودة أدلة لا إجابة محفوظة.</x:v>
      </x:c>
      <x:c r="G36" s="28" t="str">
        <x:v>غموض المعلومات قد يبدو ظلمًا للاعب.</x:v>
      </x:c>
      <x:c r="H36" s="28" t="str">
        <x:v>بحث سابق للفريق؛ محتوى إلهام غير مصادق خارجيًا</x:v>
      </x:c>
    </x:row>
    <x:row r="37" ht="43" customHeight="1">
      <x:c r="A37" s="28" t="str">
        <x:v>G32</x:v>
      </x:c>
      <x:c r="B37" s="28" t="str">
        <x:v>Super Mario 64</x:v>
      </x:c>
      <x:c r="C37" s="28" t="str">
        <x:v>منصات ثلاثية الأبعاد</x:v>
      </x:c>
      <x:c r="D37" s="28" t="str">
        <x:v>فردي</x:v>
      </x:c>
      <x:c r="E37" s="28" t="str">
        <x:v>يمكن إعادة استخدام خريطة بأهداف مختلفة.</x:v>
      </x:c>
      <x:c r="F37" s="28" t="str">
        <x:v>نفس الموقع لقياس ثم جمع ثم صيانة.</x:v>
      </x:c>
      <x:c r="G37" s="28" t="str">
        <x:v>إعادة المهمة نفسها مع تغيير الاسم.</x:v>
      </x:c>
      <x:c r="H37" s="28" t="str">
        <x:v>بحث سابق للفريق؛ محتوى إلهام غير مصادق خارجيًا</x:v>
      </x:c>
    </x:row>
    <x:row r="38" ht="43" customHeight="1">
      <x:c r="A38" s="28" t="str">
        <x:v>G33</x:v>
      </x:c>
      <x:c r="B38" s="28" t="str">
        <x:v>Resident Evil 4</x:v>
      </x:c>
      <x:c r="C38" s="28" t="str">
        <x:v>أكشن وبقاء</x:v>
      </x:c>
      <x:c r="D38" s="28" t="str">
        <x:v>فردي</x:v>
      </x:c>
      <x:c r="E38" s="28" t="str">
        <x:v>الندرة تعطي وزنًا لكل قرار.</x:v>
      </x:c>
      <x:c r="F38" s="28" t="str">
        <x:v>معدات إنقاذ محدودة في بعثة.</x:v>
      </x:c>
      <x:c r="G38" s="28" t="str">
        <x:v>عقوبة قاسية تمنع التعلم.</x:v>
      </x:c>
      <x:c r="H38" s="28" t="str">
        <x:v>بحث سابق للفريق؛ محتوى إلهام غير مصادق خارجيًا</x:v>
      </x:c>
    </x:row>
    <x:row r="39" ht="43" customHeight="1">
      <x:c r="A39" s="28" t="str">
        <x:v>G34</x:v>
      </x:c>
      <x:c r="B39" s="28" t="str">
        <x:v>Zelda: A Link to the Past</x:v>
      </x:c>
      <x:c r="C39" s="28" t="str">
        <x:v>مغامرة وألغاز</x:v>
      </x:c>
      <x:c r="D39" s="28" t="str">
        <x:v>فردي</x:v>
      </x:c>
      <x:c r="E39" s="28" t="str">
        <x:v>مقارنة حالتين تصنع لغزًا مكانيًا.</x:v>
      </x:c>
      <x:c r="F39" s="28" t="str">
        <x:v>طبقتا إضاءة وتضاريس للموقع نفسه.</x:v>
      </x:c>
      <x:c r="G39" s="28" t="str">
        <x:v>طبقة جميلة لا تؤثر على القرار.</x:v>
      </x:c>
      <x:c r="H39" s="28" t="str">
        <x:v>بحث سابق للفريق؛ محتوى إلهام غير مصادق خارجيًا</x:v>
      </x:c>
    </x:row>
    <x:row r="40" ht="43" customHeight="1">
      <x:c r="A40" s="28" t="str">
        <x:v>G35</x:v>
      </x:c>
      <x:c r="B40" s="28" t="str">
        <x:v>Super Mario World</x:v>
      </x:c>
      <x:c r="C40" s="28" t="str">
        <x:v>منصات ثنائية الأبعاد</x:v>
      </x:c>
      <x:c r="D40" s="28" t="str">
        <x:v>فردي أو تناوب</x:v>
      </x:c>
      <x:c r="E40" s="28" t="str">
        <x:v>التدرج يعتمد على تركيب المهارات.</x:v>
      </x:c>
      <x:c r="F40" s="28" t="str">
        <x:v>روبوت يتحرك ويثبت أداة عبر مراحل قصيرة.</x:v>
      </x:c>
      <x:c r="G40" s="28" t="str">
        <x:v>إضافة عوائق بلا معنى علمي.</x:v>
      </x:c>
      <x:c r="H40" s="28" t="str">
        <x:v>بحث سابق للفريق؛ محتوى إلهام غير مصادق خارجيًا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4" hidden="0" customWidth="1"/>
    <x:col min="3" max="3" width="44" hidden="0" customWidth="1"/>
    <x:col min="4" max="4" width="38" hidden="0" customWidth="1"/>
    <x:col min="5" max="5" width="18" hidden="0" customWidth="1"/>
    <x:col min="6" max="6" width="22" hidden="0" customWidth="1"/>
    <x:col min="7" max="7" width="16" hidden="0" customWidth="1"/>
    <x:col min="8" max="8" width="79" hidden="0" customWidth="1"/>
  </x:cols>
  <x:sheetData>
    <x:row r="1" ht="38" customHeight="1">
      <x:c r="A1" s="4" t="str">
        <x:v>الأصول والتراخيص</x:v>
      </x:c>
      <x:c r="B1" s="4"/>
      <x:c r="C1" s="4"/>
      <x:c r="D1" s="4"/>
      <x:c r="E1" s="4"/>
      <x:c r="F1" s="4"/>
      <x:c r="G1" s="4"/>
      <x:c r="H1" s="4"/>
    </x:row>
    <x:row r="2" ht="29" customHeight="1">
      <x:c r="A2" s="10" t="str">
        <x:v>مصدر كل أصل وحقوقه وحالة دخوله؛ لا نستخدم أصول لعبة تجارية بلا حق</x:v>
      </x:c>
      <x:c r="B2" s="10"/>
      <x:c r="C2" s="10"/>
      <x:c r="D2" s="10"/>
      <x:c r="E2" s="10"/>
      <x:c r="F2" s="10"/>
      <x:c r="G2" s="10"/>
      <x:c r="H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  <x:c r="H3" s="15"/>
    </x:row>
    <x:row r="5" ht="34" customHeight="1">
      <x:c r="A5" s="21" t="str">
        <x:v>ID</x:v>
      </x:c>
      <x:c r="B5" s="21" t="str">
        <x:v>اسم الأصل</x:v>
      </x:c>
      <x:c r="C5" s="21" t="str">
        <x:v>الاستخدام</x:v>
      </x:c>
      <x:c r="D5" s="21" t="str">
        <x:v>وضع الترخيص</x:v>
      </x:c>
      <x:c r="E5" s="21" t="str">
        <x:v>الأولوية</x:v>
      </x:c>
      <x:c r="F5" s="21" t="str">
        <x:v>الحالة الفعلية</x:v>
      </x:c>
      <x:c r="G5" s="21" t="str">
        <x:v>المصدر</x:v>
      </x:c>
      <x:c r="H5" s="21" t="str">
        <x:v>التدقيق المطلوب</x:v>
      </x:c>
    </x:row>
    <x:row r="6" ht="43" customHeight="1">
      <x:c r="A6" s="28" t="str">
        <x:v>AS01</x:v>
      </x:c>
      <x:c r="B6" s="28" t="str">
        <x:v>Kenney Space Kit</x:v>
      </x:c>
      <x:c r="C6" s="28" t="str">
        <x:v>موديلات سفن ومبانٍ فضائية</x:v>
      </x:c>
      <x:c r="D6" s="28" t="str">
        <x:v>CC0</x:v>
      </x:c>
      <x:c r="E6" s="28" t="str">
        <x:v>P2</x:v>
      </x:c>
      <x:c r="F6" s="28" t="str">
        <x:v>لم يُدمج</x:v>
      </x:c>
      <x:c r="G6" s="28" t="str">
        <x:v>S15</x:v>
      </x:c>
      <x:c r="H6" s="28" t="str">
        <x:v>تحقق من ملف الترخيص أثناء التحميل</x:v>
      </x:c>
    </x:row>
    <x:row r="7" ht="43" customHeight="1">
      <x:c r="A7" s="28" t="str">
        <x:v>AS02</x:v>
      </x:c>
      <x:c r="B7" s="28" t="str">
        <x:v>Kenney Space Station Kit</x:v>
      </x:c>
      <x:c r="C7" s="28" t="str">
        <x:v>موديلات داخليات محطة</x:v>
      </x:c>
      <x:c r="D7" s="28" t="str">
        <x:v>CC0</x:v>
      </x:c>
      <x:c r="E7" s="28" t="str">
        <x:v>P2</x:v>
      </x:c>
      <x:c r="F7" s="28" t="str">
        <x:v>لم يُدمج</x:v>
      </x:c>
      <x:c r="G7" s="28" t="str">
        <x:v>S16</x:v>
      </x:c>
      <x:c r="H7" s="28" t="str">
        <x:v>قد يناسب ORIGIN</x:v>
      </x:c>
    </x:row>
    <x:row r="8" ht="43" customHeight="1">
      <x:c r="A8" s="28" t="str">
        <x:v>AS03</x:v>
      </x:c>
      <x:c r="B8" s="28" t="str">
        <x:v>Kenney Modular Space Kit</x:v>
      </x:c>
      <x:c r="C8" s="28" t="str">
        <x:v>قطع بناء محطة</x:v>
      </x:c>
      <x:c r="D8" s="28" t="str">
        <x:v>CC0</x:v>
      </x:c>
      <x:c r="E8" s="28" t="str">
        <x:v>P2</x:v>
      </x:c>
      <x:c r="F8" s="28" t="str">
        <x:v>لم يُدمج</x:v>
      </x:c>
      <x:c r="G8" s="28" t="str">
        <x:v>S17</x:v>
      </x:c>
      <x:c r="H8" s="28" t="str">
        <x:v>تحقق من الرخصة داخل الحزمة</x:v>
      </x:c>
    </x:row>
    <x:row r="9" ht="43" customHeight="1">
      <x:c r="A9" s="28" t="str">
        <x:v>AS04</x:v>
      </x:c>
      <x:c r="B9" s="28" t="str">
        <x:v>NASA Apollo 15 photos</x:v>
      </x:c>
      <x:c r="C9" s="28" t="str">
        <x:v>صور واقعية للمتحف</x:v>
      </x:c>
      <x:c r="D9" s="28" t="str">
        <x:v>NASA media guidelines</x:v>
      </x:c>
      <x:c r="E9" s="28" t="str">
        <x:v>P0</x:v>
      </x:c>
      <x:c r="F9" s="28" t="str">
        <x:v>لم يُدمج</x:v>
      </x:c>
      <x:c r="G9" s="28" t="str">
        <x:v>S06/S13</x:v>
      </x:c>
      <x:c r="H9" s="28" t="str">
        <x:v>اذكر مصدر الصورة ولا تستخدمها لتوهم الاعتماد</x:v>
      </x:c>
    </x:row>
    <x:row r="10" ht="43" customHeight="1">
      <x:c r="A10" s="28" t="str">
        <x:v>AS05</x:v>
      </x:c>
      <x:c r="B10" s="28" t="str">
        <x:v>NASA LRV mission data</x:v>
      </x:c>
      <x:c r="C10" s="28" t="str">
        <x:v>حقائق وحسابات</x:v>
      </x:c>
      <x:c r="D10" s="28" t="str">
        <x:v>مصدر حكومي</x:v>
      </x:c>
      <x:c r="E10" s="28" t="str">
        <x:v>P0</x:v>
      </x:c>
      <x:c r="F10" s="28" t="str">
        <x:v>معلومات مستخدمة</x:v>
      </x:c>
      <x:c r="G10" s="28" t="str">
        <x:v>S05</x:v>
      </x:c>
      <x:c r="H10" s="28" t="str">
        <x:v>توثيق حقائق لا ترخيص برمجية</x:v>
      </x:c>
    </x:row>
    <x:row r="11" ht="43" customHeight="1">
      <x:c r="A11" s="28" t="str">
        <x:v>AS06</x:v>
      </x:c>
      <x:c r="B11" s="28" t="str">
        <x:v>NASA Opportunity photos</x:v>
      </x:c>
      <x:c r="C11" s="28" t="str">
        <x:v>صور/آخر بيانات</x:v>
      </x:c>
      <x:c r="D11" s="28" t="str">
        <x:v>NASA media guidelines</x:v>
      </x:c>
      <x:c r="E11" s="28" t="str">
        <x:v>P0</x:v>
      </x:c>
      <x:c r="F11" s="28" t="str">
        <x:v>لم يُدمج</x:v>
      </x:c>
      <x:c r="G11" s="28" t="str">
        <x:v>S12/S13</x:v>
      </x:c>
      <x:c r="H11" s="28" t="str">
        <x:v>لا تُنسَب مقولات صوتية للمركبة</x:v>
      </x:c>
    </x:row>
    <x:row r="12" ht="43" customHeight="1">
      <x:c r="A12" s="28" t="str">
        <x:v>AS07</x:v>
      </x:c>
      <x:c r="B12" s="28" t="str">
        <x:v>NASA InSight content</x:v>
      </x:c>
      <x:c r="C12" s="28" t="str">
        <x:v>مستقبل وموجات زلزالية</x:v>
      </x:c>
      <x:c r="D12" s="28" t="str">
        <x:v>NASA media guidelines</x:v>
      </x:c>
      <x:c r="E12" s="28" t="str">
        <x:v>P2</x:v>
      </x:c>
      <x:c r="F12" s="28" t="str">
        <x:v>لم يُدمج</x:v>
      </x:c>
      <x:c r="G12" s="28" t="str">
        <x:v>S11</x:v>
      </x:c>
      <x:c r="H12" s="28" t="str">
        <x:v>فحص حقوق البيانات المُرفقة</x:v>
      </x:c>
    </x:row>
    <x:row r="13" ht="43" customHeight="1">
      <x:c r="A13" s="28" t="str">
        <x:v>AS08</x:v>
      </x:c>
      <x:c r="B13" s="28" t="str">
        <x:v>ORIGIN background art</x:v>
      </x:c>
      <x:c r="C13" s="28" t="str">
        <x:v>رسومات برنامجية أصلية</x:v>
      </x:c>
      <x:c r="D13" s="28" t="str">
        <x:v>ملكية فريق المنتج بحسب الملف</x:v>
      </x:c>
      <x:c r="E13" s="28" t="str">
        <x:v>P0</x:v>
      </x:c>
      <x:c r="F13" s="28" t="str">
        <x:v>موجود حاليًا</x:v>
      </x:c>
      <x:c r="G13" s="28" t="str">
        <x:v>S29</x:v>
      </x:c>
      <x:c r="H13" s="28" t="str">
        <x:v>احتفظ بكود المصدر</x:v>
      </x:c>
    </x:row>
    <x:row r="14" ht="43" customHeight="1">
      <x:c r="A14" s="28" t="str">
        <x:v>AS09</x:v>
      </x:c>
      <x:c r="B14" s="28" t="str">
        <x:v>Moon terrain procedural</x:v>
      </x:c>
      <x:c r="C14" s="28" t="str">
        <x:v>صخور وتظليل canvas</x:v>
      </x:c>
      <x:c r="D14" s="28" t="str">
        <x:v>مولد داخل المشروع</x:v>
      </x:c>
      <x:c r="E14" s="28" t="str">
        <x:v>P0</x:v>
      </x:c>
      <x:c r="F14" s="28" t="str">
        <x:v>موجود حاليًا</x:v>
      </x:c>
      <x:c r="G14" s="28" t="str">
        <x:v>S29</x:v>
      </x:c>
      <x:c r="H14" s="28" t="str">
        <x:v>ليس تصوير القمر الحقيقي</x:v>
      </x:c>
    </x:row>
    <x:row r="15" ht="43" customHeight="1">
      <x:c r="A15" s="28" t="str">
        <x:v>AS10</x:v>
      </x:c>
      <x:c r="B15" s="28" t="str">
        <x:v>Astronaut procedural art</x:v>
      </x:c>
      <x:c r="C15" s="28" t="str">
        <x:v>شخصية/بدلة مبسطة</x:v>
      </x:c>
      <x:c r="D15" s="28" t="str">
        <x:v>مولد داخل المشروع</x:v>
      </x:c>
      <x:c r="E15" s="28" t="str">
        <x:v>P0</x:v>
      </x:c>
      <x:c r="F15" s="28" t="str">
        <x:v>موجود حاليًا</x:v>
      </x:c>
      <x:c r="G15" s="28" t="str">
        <x:v>S29</x:v>
      </x:c>
      <x:c r="H15" s="28" t="str">
        <x:v>أسلوب خيالي</x:v>
      </x:c>
    </x:row>
    <x:row r="16" ht="43" customHeight="1">
      <x:c r="A16" s="28" t="str">
        <x:v>AS11</x:v>
      </x:c>
      <x:c r="B16" s="28" t="str">
        <x:v>Rover procedural</x:v>
      </x:c>
      <x:c r="C16" s="28" t="str">
        <x:v>مركبة مبسطة</x:v>
      </x:c>
      <x:c r="D16" s="28" t="str">
        <x:v>مولد داخل المشروع</x:v>
      </x:c>
      <x:c r="E16" s="28" t="str">
        <x:v>P0</x:v>
      </x:c>
      <x:c r="F16" s="28" t="str">
        <x:v>موجود حاليًا</x:v>
      </x:c>
      <x:c r="G16" s="28" t="str">
        <x:v>S29</x:v>
      </x:c>
      <x:c r="H16" s="28" t="str">
        <x:v>المقاسات غير مطابقة تاريخيًا</x:v>
      </x:c>
    </x:row>
    <x:row r="17" ht="43" customHeight="1">
      <x:c r="A17" s="28" t="str">
        <x:v>AS12</x:v>
      </x:c>
      <x:c r="B17" s="28" t="str">
        <x:v>Synthesized UI tones</x:v>
      </x:c>
      <x:c r="C17" s="28" t="str">
        <x:v>مؤثرات واجهة</x:v>
      </x:c>
      <x:c r="D17" s="28" t="str">
        <x:v>أصوات برمجية</x:v>
      </x:c>
      <x:c r="E17" s="28" t="str">
        <x:v>P0</x:v>
      </x:c>
      <x:c r="F17" s="28" t="str">
        <x:v>موجود حاليًا</x:v>
      </x:c>
      <x:c r="G17" s="28" t="str">
        <x:v>S30</x:v>
      </x:c>
      <x:c r="H17" s="28" t="str">
        <x:v>لا توهم صوتًا في فراغ القمر</x:v>
      </x:c>
    </x:row>
    <x:row r="18" ht="43" customHeight="1">
      <x:c r="A18" s="28" t="str">
        <x:v>AS13</x:v>
      </x:c>
      <x:c r="B18" s="28" t="str">
        <x:v>IBM Plex Sans Arabic</x:v>
      </x:c>
      <x:c r="C18" s="28" t="str">
        <x:v>خط عربي مناسب</x:v>
      </x:c>
      <x:c r="D18" s="28" t="str">
        <x:v>يلزم مراجعة الترخيص قبل تضمينه</x:v>
      </x:c>
      <x:c r="E18" s="28" t="str">
        <x:v>P1</x:v>
      </x:c>
      <x:c r="F18" s="28" t="str">
        <x:v>يحتاج تحقق</x:v>
      </x:c>
      <x:c r="G18" s="28" t="str">
        <x:v>مصدر الخط</x:v>
      </x:c>
      <x:c r="H18" s="28" t="str">
        <x:v>حفظ ملف حقوق</x:v>
      </x:c>
    </x:row>
    <x:row r="19" ht="43" customHeight="1">
      <x:c r="A19" s="28" t="str">
        <x:v>AS14</x:v>
      </x:c>
      <x:c r="B19" s="28" t="str">
        <x:v>UI icons</x:v>
      </x:c>
      <x:c r="C19" s="28" t="str">
        <x:v>رموز تحكم</x:v>
      </x:c>
      <x:c r="D19" s="28" t="str">
        <x:v>متغير</x:v>
      </x:c>
      <x:c r="E19" s="28" t="str">
        <x:v>P1</x:v>
      </x:c>
      <x:c r="F19" s="28" t="str">
        <x:v>يحتاج تحقق</x:v>
      </x:c>
      <x:c r="G19" s="28" t="str">
        <x:v>سجل الأصول</x:v>
      </x:c>
      <x:c r="H19" s="28" t="str">
        <x:v>استخدم SVG أصلي/CC0</x:v>
      </x:c>
    </x:row>
    <x:row r="20" ht="43" customHeight="1">
      <x:c r="A20" s="28" t="str">
        <x:v>AS15</x:v>
      </x:c>
      <x:c r="B20" s="28" t="str">
        <x:v>Promotional images</x:v>
      </x:c>
      <x:c r="C20" s="28" t="str">
        <x:v>صور عرض التقديم</x:v>
      </x:c>
      <x:c r="D20" s="28" t="str">
        <x:v>المصدر لكل صورة</x:v>
      </x:c>
      <x:c r="E20" s="28" t="str">
        <x:v>P0</x:v>
      </x:c>
      <x:c r="F20" s="28" t="str">
        <x:v>لم يبدأ</x:v>
      </x:c>
      <x:c r="G20" s="28" t="str">
        <x:v>S13</x:v>
      </x:c>
      <x:c r="H20" s="28" t="str">
        <x:v>خاصة الصور التي تضم أشخاصًا</x:v>
      </x:c>
    </x:row>
    <x:row r="21" ht="43" customHeight="1">
      <x:c r="A21" s="28" t="str">
        <x:v>AS16</x:v>
      </x:c>
      <x:c r="B21" s="28" t="str">
        <x:v>NASA logo</x:v>
      </x:c>
      <x:c r="C21" s="28" t="str">
        <x:v>هوية الوكالة</x:v>
      </x:c>
      <x:c r="D21" s="28" t="str">
        <x:v>محمي؛ غير مرخص علامة عامة</x:v>
      </x:c>
      <x:c r="E21" s="28" t="str">
        <x:v>محظور</x:v>
      </x:c>
      <x:c r="F21" s="28" t="str">
        <x:v>لا تستخدمه كعلامة</x:v>
      </x:c>
      <x:c r="G21" s="28" t="str">
        <x:v>S13</x:v>
      </x:c>
      <x:c r="H21" s="28" t="str">
        <x:v>هوية لعبتنا مستقلة</x:v>
      </x:c>
    </x:row>
    <x:row r="22" ht="43" customHeight="1">
      <x:c r="A22" s="28" t="str">
        <x:v>AS17</x:v>
      </x:c>
      <x:c r="B22" s="28" t="str">
        <x:v>NASA mission patch</x:v>
      </x:c>
      <x:c r="C22" s="28" t="str">
        <x:v>صور شعارات المهمات</x:v>
      </x:c>
      <x:c r="D22" s="28" t="str">
        <x:v>تحتاج مراجعة استعمال</x:v>
      </x:c>
      <x:c r="E22" s="28" t="str">
        <x:v>P1</x:v>
      </x:c>
      <x:c r="F22" s="28" t="str">
        <x:v>يحتاج تحقق</x:v>
      </x:c>
      <x:c r="G22" s="28" t="str">
        <x:v>S13</x:v>
      </x:c>
      <x:c r="H22" s="28" t="str">
        <x:v>ليس بديلًا عن شعار اللعبة</x:v>
      </x:c>
    </x:row>
    <x:row r="23" ht="43" customHeight="1">
      <x:c r="A23" s="28" t="str">
        <x:v>AS18</x:v>
      </x:c>
      <x:c r="B23" s="28" t="str">
        <x:v>In-game ECHO voice</x:v>
      </x:c>
      <x:c r="C23" s="28" t="str">
        <x:v>صوت AI خيالي</x:v>
      </x:c>
      <x:c r="D23" s="28" t="str">
        <x:v>رخصة إنتاج/موافقة</x:v>
      </x:c>
      <x:c r="E23" s="28" t="str">
        <x:v>P2</x:v>
      </x:c>
      <x:c r="F23" s="28" t="str">
        <x:v>لم يُدمج</x:v>
      </x:c>
      <x:c r="G23" s="28" t="str">
        <x:v>سجل الأصول</x:v>
      </x:c>
      <x:c r="H23" s="28" t="str">
        <x:v>تجنب انتحال إنسان حقيقي</x:v>
      </x:c>
    </x:row>
    <x:row r="24" ht="43" customHeight="1">
      <x:c r="A24" s="28" t="str">
        <x:v>AS19</x:v>
      </x:c>
      <x:c r="B24" s="28" t="str">
        <x:v>Ambient music</x:v>
      </x:c>
      <x:c r="C24" s="28" t="str">
        <x:v>موسيقى قمر ومريخ</x:v>
      </x:c>
      <x:c r="D24" s="28" t="str">
        <x:v>Original / CC0 only</x:v>
      </x:c>
      <x:c r="E24" s="28" t="str">
        <x:v>P1</x:v>
      </x:c>
      <x:c r="F24" s="28" t="str">
        <x:v>لم يُدمج</x:v>
      </x:c>
      <x:c r="G24" s="28" t="str">
        <x:v>مصدر الموسيقى</x:v>
      </x:c>
      <x:c r="H24" s="28" t="str">
        <x:v>لا تجعل الموسيقى إلزامية</x:v>
      </x:c>
    </x:row>
    <x:row r="25" ht="43" customHeight="1">
      <x:c r="A25" s="28" t="str">
        <x:v>AS20</x:v>
      </x:c>
      <x:c r="B25" s="28" t="str">
        <x:v>Mission video footage</x:v>
      </x:c>
      <x:c r="C25" s="28" t="str">
        <x:v>فيديو NASA أرشيفي</x:v>
      </x:c>
      <x:c r="D25" s="28" t="str">
        <x:v>NASA media guidelines</x:v>
      </x:c>
      <x:c r="E25" s="28" t="str">
        <x:v>P1</x:v>
      </x:c>
      <x:c r="F25" s="28" t="str">
        <x:v>لم يُدمج</x:v>
      </x:c>
      <x:c r="G25" s="28" t="str">
        <x:v>S13</x:v>
      </x:c>
      <x:c r="H25" s="28" t="str">
        <x:v>راجع الأطراف الثالثة</x:v>
      </x:c>
    </x:row>
    <x:row r="26" ht="43" customHeight="1">
      <x:c r="A26" s="28" t="str">
        <x:v>AS21</x:v>
      </x:c>
      <x:c r="B26" s="28" t="str">
        <x:v>Offline export</x:v>
      </x:c>
      <x:c r="C26" s="28" t="str">
        <x:v>ZIP/HTML</x:v>
      </x:c>
      <x:c r="D26" s="28" t="str">
        <x:v>كود الفريق</x:v>
      </x:c>
      <x:c r="E26" s="28" t="str">
        <x:v>P0</x:v>
      </x:c>
      <x:c r="F26" s="28" t="str">
        <x:v>موجود حاليًا</x:v>
      </x:c>
      <x:c r="G26" s="28" t="str">
        <x:v>S29</x:v>
      </x:c>
      <x:c r="H26" s="28" t="str">
        <x:v>نسخة احتياطية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4" hidden="0" customWidth="1"/>
    <x:col min="3" max="3" width="19" hidden="0" customWidth="1"/>
    <x:col min="4" max="4" width="19" hidden="0" customWidth="1"/>
    <x:col min="5" max="5" width="22" hidden="0" customWidth="1"/>
    <x:col min="6" max="6" width="62" hidden="0" customWidth="1"/>
    <x:col min="7" max="7" width="15" hidden="0" customWidth="1"/>
  </x:cols>
  <x:sheetData>
    <x:row r="1" ht="38" customHeight="1">
      <x:c r="A1" s="4" t="str">
        <x:v>ميزانية افتراضية</x:v>
      </x:c>
      <x:c r="B1" s="4"/>
      <x:c r="C1" s="4"/>
      <x:c r="D1" s="4"/>
      <x:c r="E1" s="4"/>
      <x:c r="F1" s="4"/>
      <x:c r="G1" s="4"/>
    </x:row>
    <x:row r="2" ht="29" customHeight="1">
      <x:c r="A2" s="10" t="str">
        <x:v>نموذج مالي افتراضي بالريال العماني: غيّر العدد والساعات/الوحدة والسعر، يتحدث الإجمالي تلقائيًا؛ ليس إنفاقًا فعليًا</x:v>
      </x:c>
      <x:c r="B2" s="10"/>
      <x:c r="C2" s="10"/>
      <x:c r="D2" s="10"/>
      <x:c r="E2" s="10"/>
      <x:c r="F2" s="10"/>
      <x:c r="G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</x:row>
    <x:row r="5" ht="34" customHeight="1">
      <x:c r="A5" s="21" t="str">
        <x:v>البند</x:v>
      </x:c>
      <x:c r="B5" s="21" t="str">
        <x:v>العدد</x:v>
      </x:c>
      <x:c r="C5" s="21" t="str">
        <x:v>الجهد/الوحدات</x:v>
      </x:c>
      <x:c r="D5" s="21" t="str">
        <x:v>ريال/وحدة</x:v>
      </x:c>
      <x:c r="E5" s="21" t="str">
        <x:v>الإجمالي OMR</x:v>
      </x:c>
      <x:c r="F5" s="21" t="str">
        <x:v>ماذا يشمل؟</x:v>
      </x:c>
      <x:c r="G5" s="21" t="str">
        <x:v>الأولوية</x:v>
      </x:c>
    </x:row>
    <x:row r="6" ht="43" customHeight="1">
      <x:c r="A6" s="28" t="str">
        <x:v>تصميم اللعبة والسرد</x:v>
      </x:c>
      <x:c r="B6" s="28" t="n">
        <x:v>1</x:v>
      </x:c>
      <x:c r="C6" s="28" t="n">
        <x:v>35</x:v>
      </x:c>
      <x:c r="D6" s="28" t="n">
        <x:v>6</x:v>
      </x:c>
      <x:c r="E6" s="32" t="n">
        <x:f>B6*C6*D6</x:f>
        <x:v>210</x:v>
      </x:c>
      <x:c r="F6" s="28" t="str">
        <x:v>تحضير/تصميم افتراضي</x:v>
      </x:c>
      <x:c r="G6" s="28" t="str">
        <x:v>P0</x:v>
      </x:c>
    </x:row>
    <x:row r="7" ht="43" customHeight="1">
      <x:c r="A7" s="28" t="str">
        <x:v>تطوير حركة/ألغاز</x:v>
      </x:c>
      <x:c r="B7" s="28" t="n">
        <x:v>1</x:v>
      </x:c>
      <x:c r="C7" s="28" t="n">
        <x:v>55</x:v>
      </x:c>
      <x:c r="D7" s="28" t="n">
        <x:v>8</x:v>
      </x:c>
      <x:c r="E7" s="32" t="n">
        <x:f>B7*C7*D7</x:f>
        <x:v>440</x:v>
      </x:c>
      <x:c r="F7" s="28" t="str">
        <x:v>مهمة Apollo وMars</x:v>
      </x:c>
      <x:c r="G7" s="28" t="str">
        <x:v>P0</x:v>
      </x:c>
    </x:row>
    <x:row r="8" ht="43" customHeight="1">
      <x:c r="A8" s="28" t="str">
        <x:v>أنظمة اللعبة والحفظ</x:v>
      </x:c>
      <x:c r="B8" s="28" t="n">
        <x:v>1</x:v>
      </x:c>
      <x:c r="C8" s="28" t="n">
        <x:v>35</x:v>
      </x:c>
      <x:c r="D8" s="28" t="n">
        <x:v>8</x:v>
      </x:c>
      <x:c r="E8" s="32" t="n">
        <x:f>B8*C8*D8</x:f>
        <x:v>280</x:v>
      </x:c>
      <x:c r="F8" s="28" t="str">
        <x:v>الحفظ والمنطق والواجهة</x:v>
      </x:c>
      <x:c r="G8" s="28" t="str">
        <x:v>P0</x:v>
      </x:c>
    </x:row>
    <x:row r="9" ht="43" customHeight="1">
      <x:c r="A9" s="28" t="str">
        <x:v>رسوم ومؤثرات واجهة</x:v>
      </x:c>
      <x:c r="B9" s="28" t="n">
        <x:v>1</x:v>
      </x:c>
      <x:c r="C9" s="28" t="n">
        <x:v>40</x:v>
      </x:c>
      <x:c r="D9" s="28" t="n">
        <x:v>6</x:v>
      </x:c>
      <x:c r="E9" s="32" t="n">
        <x:f>B9*C9*D9</x:f>
        <x:v>240</x:v>
      </x:c>
      <x:c r="F9" s="28" t="str">
        <x:v>Canvas وصور ورسوم</x:v>
      </x:c>
      <x:c r="G9" s="28" t="str">
        <x:v>P0</x:v>
      </x:c>
    </x:row>
    <x:row r="10" ht="43" customHeight="1">
      <x:c r="A10" s="28" t="str">
        <x:v>توثيق علمي وترجمة</x:v>
      </x:c>
      <x:c r="B10" s="28" t="n">
        <x:v>1</x:v>
      </x:c>
      <x:c r="C10" s="28" t="n">
        <x:v>30</x:v>
      </x:c>
      <x:c r="D10" s="28" t="n">
        <x:v>6</x:v>
      </x:c>
      <x:c r="E10" s="32" t="n">
        <x:f>B10*C10*D10</x:f>
        <x:v>180</x:v>
      </x:c>
      <x:c r="F10" s="28" t="str">
        <x:v>مصادر وتعليم</x:v>
      </x:c>
      <x:c r="G10" s="28" t="str">
        <x:v>P0</x:v>
      </x:c>
    </x:row>
    <x:row r="11" ht="43" customHeight="1">
      <x:c r="A11" s="28" t="str">
        <x:v>QA واختبارات مستخدم</x:v>
      </x:c>
      <x:c r="B11" s="28" t="n">
        <x:v>1</x:v>
      </x:c>
      <x:c r="C11" s="28" t="n">
        <x:v>38</x:v>
      </x:c>
      <x:c r="D11" s="28" t="n">
        <x:v>5</x:v>
      </x:c>
      <x:c r="E11" s="32" t="n">
        <x:f>B11*C11*D11</x:f>
        <x:v>190</x:v>
      </x:c>
      <x:c r="F11" s="28" t="str">
        <x:v>تشغيل وتحسين</x:v>
      </x:c>
      <x:c r="G11" s="28" t="str">
        <x:v>P0</x:v>
      </x:c>
    </x:row>
    <x:row r="12" ht="43" customHeight="1">
      <x:c r="A12" s="28" t="str">
        <x:v>تحرير فيديو عرض</x:v>
      </x:c>
      <x:c r="B12" s="28" t="n">
        <x:v>1</x:v>
      </x:c>
      <x:c r="C12" s="28" t="n">
        <x:v>14</x:v>
      </x:c>
      <x:c r="D12" s="28" t="n">
        <x:v>6</x:v>
      </x:c>
      <x:c r="E12" s="32" t="n">
        <x:f>B12*C12*D12</x:f>
        <x:v>84</x:v>
      </x:c>
      <x:c r="F12" s="28" t="str">
        <x:v>فيديو تقديم</x:v>
      </x:c>
      <x:c r="G12" s="28" t="str">
        <x:v>P0</x:v>
      </x:c>
    </x:row>
    <x:row r="13" ht="43" customHeight="1">
      <x:c r="A13" s="28" t="str">
        <x:v>استضافة/نطاق</x:v>
      </x:c>
      <x:c r="B13" s="28" t="n">
        <x:v>1</x:v>
      </x:c>
      <x:c r="C13" s="28" t="n">
        <x:v>1</x:v>
      </x:c>
      <x:c r="D13" s="28" t="n">
        <x:v>25</x:v>
      </x:c>
      <x:c r="E13" s="32" t="n">
        <x:f>B13*C13*D13</x:f>
        <x:v>25</x:v>
      </x:c>
      <x:c r="F13" s="28" t="str">
        <x:v>تكلفة تقديرية ثابتة OMR</x:v>
      </x:c>
      <x:c r="G13" s="28" t="str">
        <x:v>P0</x:v>
      </x:c>
    </x:row>
    <x:row r="14" ht="43" customHeight="1">
      <x:c r="A14" s="28" t="str">
        <x:v>احتياط صيانة</x:v>
      </x:c>
      <x:c r="B14" s="28" t="n">
        <x:v>1</x:v>
      </x:c>
      <x:c r="C14" s="28" t="n">
        <x:v>10</x:v>
      </x:c>
      <x:c r="D14" s="28" t="n">
        <x:v>6</x:v>
      </x:c>
      <x:c r="E14" s="32" t="n">
        <x:f>B14*C14*D14</x:f>
        <x:v>60</x:v>
      </x:c>
      <x:c r="F14" s="28" t="str">
        <x:v>أخطاء العرض</x:v>
      </x:c>
      <x:c r="G14" s="28" t="str">
        <x:v>P0</x:v>
      </x:c>
    </x:row>
    <x:row r="15" ht="43" customHeight="1">
      <x:c r="A15" s="28" t="str">
        <x:v>فريق التوسع 3D</x:v>
      </x:c>
      <x:c r="B15" s="28" t="n">
        <x:v>1</x:v>
      </x:c>
      <x:c r="C15" s="28" t="n">
        <x:v>120</x:v>
      </x:c>
      <x:c r="D15" s="28" t="n">
        <x:v>8</x:v>
      </x:c>
      <x:c r="E15" s="32" t="n">
        <x:f>B15*C15*D15</x:f>
        <x:v>960</x:v>
      </x:c>
      <x:c r="F15" s="28" t="str">
        <x:v>غير مطلوب في الحدث</x:v>
      </x:c>
      <x:c r="G15" s="28" t="str">
        <x:v>P2</x:v>
      </x:c>
    </x:row>
    <x:row r="16" ht="43" customHeight="1">
      <x:c r="A16" s="28" t="str">
        <x:v>مؤثرات موسيقية أصلية</x:v>
      </x:c>
      <x:c r="B16" s="28" t="n">
        <x:v>1</x:v>
      </x:c>
      <x:c r="C16" s="28" t="n">
        <x:v>30</x:v>
      </x:c>
      <x:c r="D16" s="28" t="n">
        <x:v>7</x:v>
      </x:c>
      <x:c r="E16" s="32" t="n">
        <x:f>B16*C16*D16</x:f>
        <x:v>210</x:v>
      </x:c>
      <x:c r="F16" s="28" t="str">
        <x:v>لاحق</x:v>
      </x:c>
      <x:c r="G16" s="28" t="str">
        <x:v>P2</x:v>
      </x:c>
    </x:row>
    <x:row r="17" ht="43" customHeight="1">
      <x:c r="A17" s="28" t="str">
        <x:v>اختبار مدارس أكبر</x:v>
      </x:c>
      <x:c r="B17" s="28" t="n">
        <x:v>1</x:v>
      </x:c>
      <x:c r="C17" s="28" t="n">
        <x:v>60</x:v>
      </x:c>
      <x:c r="D17" s="28" t="n">
        <x:v>5</x:v>
      </x:c>
      <x:c r="E17" s="32" t="n">
        <x:f>B17*C17*D17</x:f>
        <x:v>300</x:v>
      </x:c>
      <x:c r="F17" s="28" t="str">
        <x:v>لاحق مع الأذونات</x:v>
      </x:c>
      <x:c r="G17" s="28" t="str">
        <x:v>P2</x:v>
      </x:c>
    </x:row>
    <x:row r="18">
      <x:c r="E18" s="33"/>
    </x:row>
    <x:row r="19" ht="29" customHeight="1">
      <x:c r="A19" s="38" t="str">
        <x:v>إجمالي جميع السيناريوهات</x:v>
      </x:c>
      <x:c r="B19" s="38"/>
      <x:c r="C19" s="38"/>
      <x:c r="D19" s="38"/>
      <x:c r="E19" s="39" t="n">
        <x:f>SUM(E6:E17)</x:f>
        <x:v>3179</x:v>
      </x:c>
      <x:c r="F19" s="38"/>
      <x:c r="G19" s="38"/>
    </x:row>
    <x:row r="20" ht="29" customHeight="1">
      <x:c r="A20" s="38" t="str">
        <x:v>تكلفة P0 فقط</x:v>
      </x:c>
      <x:c r="B20" s="38"/>
      <x:c r="C20" s="38"/>
      <x:c r="D20" s="38"/>
      <x:c r="E20" s="39" t="n">
        <x:f>SUMIF(G6:G17,"P0",E6:E17)</x:f>
        <x:v>1709</x:v>
      </x:c>
      <x:c r="F20" s="38"/>
      <x:c r="G20" s="38"/>
    </x:row>
    <x:row r="21" ht="29" customHeight="1">
      <x:c r="A21" s="38" t="str">
        <x:v>تكلفة P2 فقط</x:v>
      </x:c>
      <x:c r="B21" s="38"/>
      <x:c r="C21" s="38"/>
      <x:c r="D21" s="38"/>
      <x:c r="E21" s="39" t="n">
        <x:f>SUMIF(G6:G17,"P2",E6:E17)</x:f>
        <x:v>1470</x:v>
      </x:c>
      <x:c r="F21" s="38"/>
      <x:c r="G21" s="38"/>
    </x:row>
    <x:row r="22" ht="29" customHeight="1">
      <x:c r="A22" s="38" t="str">
        <x:v>احتياطي مخاطر 15% P0</x:v>
      </x:c>
      <x:c r="B22" s="38"/>
      <x:c r="C22" s="38"/>
      <x:c r="D22" s="38"/>
      <x:c r="E22" s="39" t="n">
        <x:f>E20*0.15</x:f>
        <x:v>256.34999999999997</x:v>
      </x:c>
      <x:c r="F22" s="38"/>
      <x:c r="G22" s="38"/>
    </x:row>
    <x:row r="23" ht="29" customHeight="1">
      <x:c r="A23" s="38" t="str">
        <x:v>P0 مع احتياط 15%</x:v>
      </x:c>
      <x:c r="B23" s="38"/>
      <x:c r="C23" s="38"/>
      <x:c r="D23" s="38"/>
      <x:c r="E23" s="39" t="n">
        <x:f>E20+E22</x:f>
        <x:v>1965.35</x:v>
      </x:c>
      <x:c r="F23" s="38"/>
      <x:c r="G23" s="38"/>
    </x:row>
  </x:sheetData>
  <x:mergeCells>
    <x:mergeCell ref="A1:G1"/>
    <x:mergeCell ref="A2:G2"/>
    <x:mergeCell ref="A3:G3"/>
  </x:mergeCells>
  <x:conditionalFormatting sqref="G6:G17">
    <x:cfRule type="expression" dxfId="71" priority="1">
      <x:formula>G6="P0"</x:formula>
    </x:cfRule>
    <x:cfRule type="expression" dxfId="72" priority="2">
      <x:formula>G6="حرج"</x:formula>
    </x:cfRule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6" hidden="0" customWidth="1"/>
    <x:col min="4" max="4" width="66" hidden="0" customWidth="1"/>
    <x:col min="5" max="5" width="67" hidden="0" customWidth="1"/>
    <x:col min="6" max="6" width="72" hidden="0" customWidth="1"/>
  </x:cols>
  <x:sheetData>
    <x:row r="1" ht="38" customHeight="1">
      <x:c r="A1" s="4" t="str">
        <x:v>عرض 5 دقائق</x:v>
      </x:c>
      <x:c r="B1" s="4"/>
      <x:c r="C1" s="4"/>
      <x:c r="D1" s="4"/>
      <x:c r="E1" s="4"/>
      <x:c r="F1" s="4"/>
    </x:row>
    <x:row r="2" ht="29" customHeight="1">
      <x:c r="A2" s="10" t="str">
        <x:v>Storyboard لخمس دقائق فعليًا؛ يجب تسجيل لعبة حقيقية مع مصدر كل حقيقة</x:v>
      </x:c>
      <x:c r="B2" s="10"/>
      <x:c r="C2" s="10"/>
      <x:c r="D2" s="10"/>
      <x:c r="E2" s="10"/>
      <x:c r="F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</x:row>
    <x:row r="5" ht="34" customHeight="1">
      <x:c r="A5" s="21" t="str">
        <x:v>من</x:v>
      </x:c>
      <x:c r="B5" s="21" t="str">
        <x:v>إلى</x:v>
      </x:c>
      <x:c r="C5" s="21" t="str">
        <x:v>القسم</x:v>
      </x:c>
      <x:c r="D5" s="21" t="str">
        <x:v>ما يراه المحكم</x:v>
      </x:c>
      <x:c r="E5" s="21" t="str">
        <x:v>الرسالة</x:v>
      </x:c>
      <x:c r="F5" s="21" t="str">
        <x:v>قاعدة الصدق</x:v>
      </x:c>
    </x:row>
    <x:row r="6" ht="43" customHeight="1">
      <x:c r="A6" s="28" t="str">
        <x:v>00:00</x:v>
      </x:c>
      <x:c r="B6" s="28" t="str">
        <x:v>00:20</x:v>
      </x:c>
      <x:c r="C6" s="28" t="str">
        <x:v>افتتاح</x:v>
      </x:c>
      <x:c r="D6" s="28" t="str">
        <x:v>الشعار + مشكلة الآلات المنسية</x:v>
      </x:c>
      <x:c r="E6" s="28" t="str">
        <x:v>الصوت: لكل آلة قصة ولكل اكتشاف سبب</x:v>
      </x:c>
      <x:c r="F6" s="28" t="str">
        <x:v>لا تستخدم رسوم مزيفة</x:v>
      </x:c>
    </x:row>
    <x:row r="7" ht="43" customHeight="1">
      <x:c r="A7" s="28" t="str">
        <x:v>00:20</x:v>
      </x:c>
      <x:c r="B7" s="28" t="str">
        <x:v>00:50</x:v>
      </x:c>
      <x:c r="C7" s="28" t="str">
        <x:v>ORIGIN</x:v>
      </x:c>
      <x:c r="D7" s="28" t="str">
        <x:v>تظهر شاشة اختيار المهمة</x:v>
      </x:c>
      <x:c r="E7" s="28" t="str">
        <x:v>لعبة تفاعلية لا مقالة</x:v>
      </x:c>
      <x:c r="F7" s="28" t="str">
        <x:v>يفتح Apollo فعليًا</x:v>
      </x:c>
    </x:row>
    <x:row r="8" ht="43" customHeight="1">
      <x:c r="A8" s="28" t="str">
        <x:v>00:50</x:v>
      </x:c>
      <x:c r="B8" s="28" t="str">
        <x:v>01:20</x:v>
      </x:c>
      <x:c r="C8" s="28" t="str">
        <x:v>الميدان</x:v>
      </x:c>
      <x:c r="D8" s="28" t="str">
        <x:v>حركة وتفاعل أول دليل</x:v>
      </x:c>
      <x:c r="E8" s="28" t="str">
        <x:v>الجهاز ليس خلفية</x:v>
      </x:c>
      <x:c r="F8" s="28" t="str">
        <x:v>E يؤدي فعلًا</x:v>
      </x:c>
    </x:row>
    <x:row r="9" ht="43" customHeight="1">
      <x:c r="A9" s="28" t="str">
        <x:v>01:20</x:v>
      </x:c>
      <x:c r="B9" s="28" t="str">
        <x:v>01:50</x:v>
      </x:c>
      <x:c r="C9" s="28" t="str">
        <x:v>الدائرة</x:v>
      </x:c>
      <x:c r="D9" s="28" t="str">
        <x:v>دوّر قطع الاتصال</x:v>
      </x:c>
      <x:c r="E9" s="28" t="str">
        <x:v>كل رابط علمي يبدأ بتحقيق</x:v>
      </x:c>
      <x:c r="F9" s="28" t="str">
        <x:v>فيديو/لعب مباشر</x:v>
      </x:c>
    </x:row>
    <x:row r="10" ht="43" customHeight="1">
      <x:c r="A10" s="28" t="str">
        <x:v>01:50</x:v>
      </x:c>
      <x:c r="B10" s="28" t="str">
        <x:v>02:15</x:v>
      </x:c>
      <x:c r="C10" s="28" t="str">
        <x:v>الربط</x:v>
      </x:c>
      <x:c r="D10" s="28" t="str">
        <x:v>اجمع الأدلة ووصلها بنتائج</x:v>
      </x:c>
      <x:c r="E10" s="28" t="str">
        <x:v>لنفهم لماذا وسعت العربة البحث</x:v>
      </x:c>
      <x:c r="F10" s="28" t="str">
        <x:v>نتيجة كاملة</x:v>
      </x:c>
    </x:row>
    <x:row r="11" ht="43" customHeight="1">
      <x:c r="A11" s="28" t="str">
        <x:v>02:15</x:v>
      </x:c>
      <x:c r="B11" s="28" t="str">
        <x:v>02:55</x:v>
      </x:c>
      <x:c r="C11" s="28" t="str">
        <x:v>القيادة</x:v>
      </x:c>
      <x:c r="D11" s="28" t="str">
        <x:v>قيادة مركبة ومسار</x:v>
      </x:c>
      <x:c r="E11" s="28" t="str">
        <x:v>تجربة التنقل غيّرت البحث</x:v>
      </x:c>
      <x:c r="F11" s="28" t="str">
        <x:v>مستوى قابل للعرض</x:v>
      </x:c>
    </x:row>
    <x:row r="12" ht="43" customHeight="1">
      <x:c r="A12" s="28" t="str">
        <x:v>02:55</x:v>
      </x:c>
      <x:c r="B12" s="28" t="str">
        <x:v>03:25</x:v>
      </x:c>
      <x:c r="C12" s="28" t="str">
        <x:v>النتائج</x:v>
      </x:c>
      <x:c r="D12" s="28" t="str">
        <x:v>التقط حزمة + حساب زمن</x:v>
      </x:c>
      <x:c r="E12" s="28" t="str">
        <x:v>العلم يخرج من العمل</x:v>
      </x:c>
      <x:c r="F12" s="28" t="str">
        <x:v>اختصار مشروع إلى مثال</x:v>
      </x:c>
    </x:row>
    <x:row r="13" ht="43" customHeight="1">
      <x:c r="A13" s="28" t="str">
        <x:v>03:25</x:v>
      </x:c>
      <x:c r="B13" s="28" t="str">
        <x:v>03:50</x:v>
      </x:c>
      <x:c r="C13" s="28" t="str">
        <x:v>الختام القمري</x:v>
      </x:c>
      <x:c r="D13" s="28" t="str">
        <x:v>استنتاج + إضاءة المتحف</x:v>
      </x:c>
      <x:c r="E13" s="28" t="str">
        <x:v>تاريخ مقابل محاكاة</x:v>
      </x:c>
      <x:c r="F13" s="28" t="str">
        <x:v>عرض مصدر NASA</x:v>
      </x:c>
    </x:row>
    <x:row r="14" ht="43" customHeight="1">
      <x:c r="A14" s="28" t="str">
        <x:v>03:50</x:v>
      </x:c>
      <x:c r="B14" s="28" t="str">
        <x:v>04:25</x:v>
      </x:c>
      <x:c r="C14" s="28" t="str">
        <x:v>المريخ</x:v>
      </x:c>
      <x:c r="D14" s="28" t="str">
        <x:v>مثال ميزانية الطاقة في الغبار</x:v>
      </x:c>
      <x:c r="E14" s="28" t="str">
        <x:v>Opportunity شمسية وانقطع الاتصال 2018</x:v>
      </x:c>
      <x:c r="F14" s="28" t="str">
        <x:v>لا تمثيل حدث حقيقي</x:v>
      </x:c>
    </x:row>
    <x:row r="15" ht="43" customHeight="1">
      <x:c r="A15" s="28" t="str">
        <x:v>04:25</x:v>
      </x:c>
      <x:c r="B15" s="28" t="str">
        <x:v>04:45</x:v>
      </x:c>
      <x:c r="C15" s="28" t="str">
        <x:v>المقارنة</x:v>
      </x:c>
      <x:c r="D15" s="28" t="str">
        <x:v>متحف يجمع الأجهزة</x:v>
      </x:c>
      <x:c r="E15" s="28" t="str">
        <x:v>كل جهاز أثر في أسئلة العلم</x:v>
      </x:c>
      <x:c r="F15" s="28" t="str">
        <x:v>المتحف يفتح</x:v>
      </x:c>
    </x:row>
    <x:row r="16" ht="43" customHeight="1">
      <x:c r="A16" s="28" t="str">
        <x:v>04:45</x:v>
      </x:c>
      <x:c r="B16" s="28" t="str">
        <x:v>05:00</x:v>
      </x:c>
      <x:c r="C16" s="28" t="str">
        <x:v>التأثير</x:v>
      </x:c>
      <x:c r="D16" s="28" t="str">
        <x:v>سؤال قياس فوري + دعوة للتجربة</x:v>
      </x:c>
      <x:c r="E16" s="28" t="str">
        <x:v>خاتمة قصيرة</x:v>
      </x:c>
      <x:c r="F16" s="28" t="str">
        <x:v>بدون ادعاءات نتائج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97" hidden="0" customWidth="1"/>
    <x:col min="3" max="3" width="49" hidden="0" customWidth="1"/>
    <x:col min="4" max="4" width="18" hidden="0" customWidth="1"/>
  </x:cols>
  <x:sheetData>
    <x:row r="1" ht="38" customHeight="1">
      <x:c r="A1" s="4" t="str">
        <x:v>أسئلة المحكمين</x:v>
      </x:c>
      <x:c r="B1" s="4"/>
      <x:c r="C1" s="4"/>
      <x:c r="D1" s="4"/>
    </x:row>
    <x:row r="2" ht="29" customHeight="1">
      <x:c r="A2" s="10" t="str">
        <x:v>إجابات دقيقة تحمي الفريق من المبالغة عند عرض المشروع</x:v>
      </x:c>
      <x:c r="B2" s="10"/>
      <x:c r="C2" s="10"/>
      <x:c r="D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</x:row>
    <x:row r="5" ht="34" customHeight="1">
      <x:c r="A5" s="21" t="str">
        <x:v>سؤال محتمل</x:v>
      </x:c>
      <x:c r="B5" s="21" t="str">
        <x:v>إجابة الفريق الموصى بها</x:v>
      </x:c>
      <x:c r="C5" s="21" t="str">
        <x:v>ما نعرضه كدليل</x:v>
      </x:c>
      <x:c r="D5" s="21" t="str">
        <x:v>مرجع</x:v>
      </x:c>
    </x:row>
    <x:row r="6" ht="43" customHeight="1">
      <x:c r="A6" s="28" t="str">
        <x:v>ما المشكلة؟</x:v>
      </x:c>
      <x:c r="B6" s="28" t="str">
        <x:v>تحويل الأجهزة العلمية القديمة إلى قصص قابلة للفهم عن مساهمتها في العلوم</x:v>
      </x:c>
      <x:c r="C6" s="28" t="str">
        <x:v>أظهر أبولو وOpportunity</x:v>
      </x:c>
      <x:c r="D6" s="28" t="str">
        <x:v>S02</x:v>
      </x:c>
    </x:row>
    <x:row r="7" ht="43" customHeight="1">
      <x:c r="A7" s="28" t="str">
        <x:v>لماذا لعبة؟</x:v>
      </x:c>
      <x:c r="B7" s="28" t="str">
        <x:v>التفاعل يسمح للطالب باختبار علاقة الجهاز بوظيفة علمية</x:v>
      </x:c>
      <x:c r="C7" s="28" t="str">
        <x:v>لغز الأدلة والتجربة</x:v>
      </x:c>
      <x:c r="D7" s="28" t="str">
        <x:v>داخلي</x:v>
      </x:c>
    </x:row>
    <x:row r="8" ht="43" customHeight="1">
      <x:c r="A8" s="28" t="str">
        <x:v>لماذا Apollo 15؟</x:v>
      </x:c>
      <x:c r="B8" s="28" t="str">
        <x:v>أول Apollo استخدمت LRV ووسعت العمل الحقلي</x:v>
      </x:c>
      <x:c r="C8" s="28" t="str">
        <x:v>LRV + نقل + عينات</x:v>
      </x:c>
      <x:c r="D8" s="28" t="str">
        <x:v>S05</x:v>
      </x:c>
    </x:row>
    <x:row r="9" ht="43" customHeight="1">
      <x:c r="A9" s="28" t="str">
        <x:v>هل المعدات تعمل الآن؟</x:v>
      </x:c>
      <x:c r="B9" s="28" t="str">
        <x:v>لا؛ التحكم في اللعبة محاكاة تعليمية وليس بعثًا تاريخيًا</x:v>
      </x:c>
      <x:c r="C9" s="28" t="str">
        <x:v>وسم Simulation</x:v>
      </x:c>
      <x:c r="D9" s="28" t="str">
        <x:v>S05</x:v>
      </x:c>
    </x:row>
    <x:row r="10" ht="43" customHeight="1">
      <x:c r="A10" s="28" t="str">
        <x:v>هل المسارات أصلية؟</x:v>
      </x:c>
      <x:c r="B10" s="28" t="str">
        <x:v>لا؛ safe/ridge/science خيارات افتراضية</x:v>
      </x:c>
      <x:c r="C10" s="28" t="str">
        <x:v>بطاقة إيضاح</x:v>
      </x:c>
      <x:c r="D10" s="28" t="str">
        <x:v>داخلي</x:v>
      </x:c>
    </x:row>
    <x:row r="11" ht="43" customHeight="1">
      <x:c r="A11" s="28" t="str">
        <x:v>لماذا Opportunity؟</x:v>
      </x:c>
      <x:c r="B11" s="28" t="str">
        <x:v>مهمة مريخية شمسية يتصل نجاحها بإدارة الطاقة وبيئة الغبار</x:v>
      </x:c>
      <x:c r="C11" s="28" t="str">
        <x:v>لوحة الطاقة</x:v>
      </x:c>
      <x:c r="D11" s="28" t="str">
        <x:v>S09</x:v>
      </x:c>
    </x:row>
    <x:row r="12" ht="43" customHeight="1">
      <x:c r="A12" s="28" t="str">
        <x:v>هل هذه آخر أربعة أيام حقيقية؟</x:v>
      </x:c>
      <x:c r="B12" s="28" t="str">
        <x:v>لا؛ أربعة أيام مريخية افتراضية لتوضيح قيود الطاقة</x:v>
      </x:c>
      <x:c r="C12" s="28" t="str">
        <x:v>وسم افتراضي</x:v>
      </x:c>
      <x:c r="D12" s="28" t="str">
        <x:v>S09</x:v>
      </x:c>
    </x:row>
    <x:row r="13" ht="43" customHeight="1">
      <x:c r="A13" s="28" t="str">
        <x:v>ما بيانات NASA المستخدمة؟</x:v>
      </x:c>
      <x:c r="B13" s="28" t="str">
        <x:v>حقائق Apollo/Opportunity من سجلات NASA؛ النموذج العددي توضيحي</x:v>
      </x:c>
      <x:c r="C13" s="28" t="str">
        <x:v>جدول claim→source</x:v>
      </x:c>
      <x:c r="D13" s="28" t="str">
        <x:v>S05/S09</x:v>
      </x:c>
    </x:row>
    <x:row r="14" ht="43" customHeight="1">
      <x:c r="A14" s="28" t="str">
        <x:v>هل لديكم بيانات تعلم؟</x:v>
      </x:c>
      <x:c r="B14" s="28" t="str">
        <x:v>لا توجد نتائج مقاسة في هذا التقرير؛ نخطط لاختبار قبلي/بعدي</x:v>
      </x:c>
      <x:c r="C14" s="28" t="str">
        <x:v>خطة العينة</x:v>
      </x:c>
      <x:c r="D14" s="28" t="str">
        <x:v>Learning</x:v>
      </x:c>
    </x:row>
    <x:row r="15" ht="43" customHeight="1">
      <x:c r="A15" s="28" t="str">
        <x:v>ما الابتكار؟</x:v>
      </x:c>
      <x:c r="B15" s="28" t="str">
        <x:v>جعل الأدلة العلمية شرطًا لفك مراحل العالم والمتحف</x:v>
      </x:c>
      <x:c r="C15" s="28" t="str">
        <x:v>عرض لغز الربط</x:v>
      </x:c>
      <x:c r="D15" s="28" t="str">
        <x:v>Puzzles</x:v>
      </x:c>
    </x:row>
    <x:row r="16" ht="43" customHeight="1">
      <x:c r="A16" s="28" t="str">
        <x:v>ما الفرق عن فيديو وثائقي؟</x:v>
      </x:c>
      <x:c r="B16" s="28" t="str">
        <x:v>اللاعب يختار ويحرك ويحاول ويفسر قبل أن يفتح المرحلة</x:v>
      </x:c>
      <x:c r="C16" s="28" t="str">
        <x:v>مقارنة</x:v>
      </x:c>
      <x:c r="D16" s="28" t="str">
        <x:v>Journey</x:v>
      </x:c>
    </x:row>
    <x:row r="17" ht="43" customHeight="1">
      <x:c r="A17" s="28" t="str">
        <x:v>ما المختلف عن 2023 Moonquake winner؟</x:v>
      </x:c>
      <x:c r="B17" s="28" t="str">
        <x:v>تغطية عدة أجهزة ومهمات وإضافة قيادة وموارد، مع الاعتراف بأن لعبة علمية فازت بالفعل</x:v>
      </x:c>
      <x:c r="C17" s="28" t="str">
        <x:v>مصدر المنافس</x:v>
      </x:c>
      <x:c r="D17" s="28" t="str">
        <x:v>S18</x:v>
      </x:c>
    </x:row>
    <x:row r="18" ht="43" customHeight="1">
      <x:c r="A18" s="28" t="str">
        <x:v>هل المنافسون مساوون لكم؟</x:v>
      </x:c>
      <x:c r="B18" s="28" t="str">
        <x:v>صفحات بعض الفرق تصف مفاهيم، ولا يمكن تقييم ألعابهم دون نسخ تشغيل</x:v>
      </x:c>
      <x:c r="C18" s="28" t="str">
        <x:v>كشف محدودية البحث</x:v>
      </x:c>
      <x:c r="D18" s="28" t="str">
        <x:v>S20</x:v>
      </x:c>
    </x:row>
    <x:row r="19" ht="43" customHeight="1">
      <x:c r="A19" s="28" t="str">
        <x:v>هل هذا AAA 3D؟</x:v>
      </x:c>
      <x:c r="B19" s="28" t="str">
        <x:v>لا؛ النسخة الحالية Canvas 2.5D بسرد وألغاز وظيفية</x:v>
      </x:c>
      <x:c r="C19" s="28" t="str">
        <x:v>اعرض الملف الحقيقي</x:v>
      </x:c>
      <x:c r="D19" s="28" t="str">
        <x:v>README</x:v>
      </x:c>
    </x:row>
    <x:row r="20" ht="43" customHeight="1">
      <x:c r="A20" s="28" t="str">
        <x:v>لماذا لا تبنون كواكب كثيرة؟</x:v>
      </x:c>
      <x:c r="B20" s="28" t="str">
        <x:v>تركيز الجودة على رحلة قصيرة كاملة أقوى من عروض ناقصة</x:v>
      </x:c>
      <x:c r="C20" s="28" t="str">
        <x:v>خارطة مراحل</x:v>
      </x:c>
      <x:c r="D20" s="28" t="str">
        <x:v>Product</x:v>
      </x:c>
    </x:row>
    <x:row r="21" ht="43" customHeight="1">
      <x:c r="A21" s="28" t="str">
        <x:v>من قام بالتطوير؟</x:v>
      </x:c>
      <x:c r="B21" s="28" t="str">
        <x:v>وثّق أسماء الفريق والأدوات والاستعانة بـAI حسب سياسة الحدث</x:v>
      </x:c>
      <x:c r="C21" s="28" t="str">
        <x:v>سجل العمل</x:v>
      </x:c>
      <x:c r="D21" s="28" t="str">
        <x:v>Eligibility</x:v>
      </x:c>
    </x:row>
    <x:row r="22" ht="43" customHeight="1">
      <x:c r="A22" s="28" t="str">
        <x:v>هل بنيتموه قبل الحدث؟</x:v>
      </x:c>
      <x:c r="B22" s="28" t="str">
        <x:v>لدينا نسخ سابقة؛ يجب التحقق رسميًا من جواز استخدامها وألا ننسبها إلى أيام الهاكاثون</x:v>
      </x:c>
      <x:c r="C22" s="28" t="str">
        <x:v>لا جواب مخادع</x:v>
      </x:c>
      <x:c r="D22" s="28" t="str">
        <x:v>S03</x:v>
      </x:c>
    </x:row>
    <x:row r="23" ht="43" customHeight="1">
      <x:c r="A23" s="28" t="str">
        <x:v>ما معايير التحكيم؟</x:v>
      </x:c>
      <x:c r="B23" s="28" t="str">
        <x:v>وردت خمسة محاور في صفحة فعالية 2026؛ تحقق الأوزان المعتمدة محلّيًا</x:v>
      </x:c>
      <x:c r="C23" s="28" t="str">
        <x:v>ورقة التحكيم</x:v>
      </x:c>
      <x:c r="D23" s="28" t="str">
        <x:v>S04</x:v>
      </x:c>
    </x:row>
    <x:row r="24" ht="43" customHeight="1">
      <x:c r="A24" s="28" t="str">
        <x:v>هل أنتم تابعون لناسا؟</x:v>
      </x:c>
      <x:c r="B24" s="28" t="str">
        <x:v>لا؛ منتج مستقل يستشهد بسجلات ناسا دون رعاية</x:v>
      </x:c>
      <x:c r="C24" s="28" t="str">
        <x:v>Disclaimer</x:v>
      </x:c>
      <x:c r="D24" s="28" t="str">
        <x:v>S13</x:v>
      </x:c>
    </x:row>
    <x:row r="25" ht="43" customHeight="1">
      <x:c r="A25" s="28" t="str">
        <x:v>هل يمكن تعليم الصغار؟</x:v>
      </x:c>
      <x:c r="B25" s="28" t="str">
        <x:v>الفئة المستهدفة 12–18؛ قياس قابلية الفهم لم يكتمل</x:v>
      </x:c>
      <x:c r="C25" s="28" t="str">
        <x:v>اختبارات المستخدم</x:v>
      </x:c>
      <x:c r="D25" s="28" t="str">
        <x:v>Learning</x:v>
      </x:c>
    </x:row>
    <x:row r="26" ht="43" customHeight="1">
      <x:c r="A26" s="28" t="str">
        <x:v>كيف تحمون البيانات؟</x:v>
      </x:c>
      <x:c r="B26" s="28" t="str">
        <x:v>لا حاجة لحساب ويُحفظ التقدم محليًا بحسب النسخة الحالية</x:v>
      </x:c>
      <x:c r="C26" s="28" t="str">
        <x:v>تجربة المتصفح</x:v>
      </x:c>
      <x:c r="D26" s="28" t="str">
        <x:v>README</x:v>
      </x:c>
    </x:row>
    <x:row r="27" ht="43" customHeight="1">
      <x:c r="A27" s="28" t="str">
        <x:v>كيف تساعدون أصحاب الاحتياجات؟</x:v>
      </x:c>
      <x:c r="B27" s="28" t="str">
        <x:v>نخطط لخفض الحركة وتحكم بديل وتباين؛ لا ندعي توفرها كلها</x:v>
      </x:c>
      <x:c r="C27" s="28" t="str">
        <x:v>UX Backlog</x:v>
      </x:c>
      <x:c r="D27" s="28" t="str">
        <x:v>UX</x:v>
      </x:c>
    </x:row>
    <x:row r="28" ht="43" customHeight="1">
      <x:c r="A28" s="28" t="str">
        <x:v>هل اللعبة تعمل offline؟</x:v>
      </x:c>
      <x:c r="B28" s="28" t="str">
        <x:v>النسخة الحالية مستقلة وفق README؛ يحتاج اختبار على جهاز العرض</x:v>
      </x:c>
      <x:c r="C28" s="28" t="str">
        <x:v>HTML zip</x:v>
      </x:c>
      <x:c r="D28" s="28" t="str">
        <x:v>README</x:v>
      </x:c>
    </x:row>
    <x:row r="29" ht="43" customHeight="1">
      <x:c r="A29" s="28" t="str">
        <x:v>كيف تُثبتون صحة الحساب؟</x:v>
      </x:c>
      <x:c r="B29" s="28" t="str">
        <x:v>المعادلة والتجربة بوحدات واضحة واختبارات edge cases</x:v>
      </x:c>
      <x:c r="C29" s="28" t="str">
        <x:v>SIM01/SIM08</x:v>
      </x:c>
      <x:c r="D29" s="28" t="str">
        <x:v>Math</x:v>
      </x:c>
    </x:row>
    <x:row r="30" ht="43" customHeight="1">
      <x:c r="A30" s="28" t="str">
        <x:v>كيف تستفيدون بعد الهاكاثون؟</x:v>
      </x:c>
      <x:c r="B30" s="28" t="str">
        <x:v>إنجاز معرض تفاعلي وقصص أجهزة أخرى وإتاحة تعليمية</x:v>
      </x:c>
      <x:c r="C30" s="28" t="str">
        <x:v>خارطة مستقبل</x:v>
      </x:c>
      <x:c r="D30" s="28" t="str">
        <x:v>Roadmap</x:v>
      </x:c>
    </x:row>
    <x:row r="31" ht="43" customHeight="1">
      <x:c r="A31" s="28" t="str">
        <x:v>هل الملف يضمن الفوز؟</x:v>
      </x:c>
      <x:c r="B31" s="28" t="str">
        <x:v>لا؛ يضبط قرار التقديم ويعرض الدليل، واللجنة وحدها تحكم</x:v>
      </x:c>
      <x:c r="C31" s="28" t="str">
        <x:v>بوابة إطلاق</x:v>
      </x:c>
      <x:c r="D31" s="28" t="str">
        <x:v>Official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57" hidden="0" customWidth="1"/>
    <x:col min="4" max="4" width="69" hidden="0" customWidth="1"/>
    <x:col min="5" max="5" width="17" hidden="0" customWidth="1"/>
    <x:col min="6" max="6" width="24" hidden="0" customWidth="1"/>
    <x:col min="7" max="7" width="13" hidden="0" customWidth="1"/>
  </x:cols>
  <x:sheetData>
    <x:row r="1" ht="38" customHeight="1">
      <x:c r="A1" s="4" t="str">
        <x:v>متطلبات التسليم</x:v>
      </x:c>
      <x:c r="B1" s="4"/>
      <x:c r="C1" s="4"/>
      <x:c r="D1" s="4"/>
      <x:c r="E1" s="4"/>
      <x:c r="F1" s="4"/>
      <x:c r="G1" s="4"/>
    </x:row>
    <x:row r="2" ht="29" customHeight="1">
      <x:c r="A2" s="10" t="str">
        <x:v>Checklist للمشاركة؛ لا تعني وجود جميع مستندات 2026 النهائية، راجع الحقول عند فتح بوابة التسليم</x:v>
      </x:c>
      <x:c r="B2" s="10"/>
      <x:c r="C2" s="10"/>
      <x:c r="D2" s="10"/>
      <x:c r="E2" s="10"/>
      <x:c r="F2" s="10"/>
      <x:c r="G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</x:row>
    <x:row r="5" ht="34" customHeight="1">
      <x:c r="A5" s="21" t="str">
        <x:v>ID</x:v>
      </x:c>
      <x:c r="B5" s="21" t="str">
        <x:v>القسم</x:v>
      </x:c>
      <x:c r="C5" s="21" t="str">
        <x:v>المطلوب</x:v>
      </x:c>
      <x:c r="D5" s="21" t="str">
        <x:v>الدليل الإجباري/المقترح</x:v>
      </x:c>
      <x:c r="E5" s="21" t="str">
        <x:v>المرجع</x:v>
      </x:c>
      <x:c r="F5" s="21" t="str">
        <x:v>الحالة</x:v>
      </x:c>
      <x:c r="G5" s="21" t="str">
        <x:v>الأولوية</x:v>
      </x:c>
    </x:row>
    <x:row r="6" ht="43" customHeight="1">
      <x:c r="A6" s="28" t="str">
        <x:v>SUB01</x:v>
      </x:c>
      <x:c r="B6" s="28" t="str">
        <x:v>الحسابات</x:v>
      </x:c>
      <x:c r="C6" s="28" t="str">
        <x:v>تسجيل كل عضو فرديًا</x:v>
      </x:c>
      <x:c r="D6" s="28" t="str">
        <x:v>لا أسماء غير مسجلة</x:v>
      </x:c>
      <x:c r="E6" s="28" t="str">
        <x:v>S01</x:v>
      </x:c>
      <x:c r="F6" s="28" t="str">
        <x:v>لم يبدأ</x:v>
      </x:c>
      <x:c r="G6" s="28" t="str">
        <x:v>حرج</x:v>
      </x:c>
    </x:row>
    <x:row r="7" ht="43" customHeight="1">
      <x:c r="A7" s="28" t="str">
        <x:v>SUB02</x:v>
      </x:c>
      <x:c r="B7" s="28" t="str">
        <x:v>التحدي</x:v>
      </x:c>
      <x:c r="C7" s="28" t="str">
        <x:v>اختيار التحدي الصحيح</x:v>
      </x:c>
      <x:c r="D7" s="28" t="str">
        <x:v>اسم 2026 مطابق</x:v>
      </x:c>
      <x:c r="E7" s="28" t="str">
        <x:v>S02</x:v>
      </x:c>
      <x:c r="F7" s="28" t="str">
        <x:v>لم يبدأ</x:v>
      </x:c>
      <x:c r="G7" s="28" t="str">
        <x:v>حرج</x:v>
      </x:c>
    </x:row>
    <x:row r="8" ht="43" customHeight="1">
      <x:c r="A8" s="28" t="str">
        <x:v>SUB03</x:v>
      </x:c>
      <x:c r="B8" s="28" t="str">
        <x:v>الموقع المحلي</x:v>
      </x:c>
      <x:c r="C8" s="28" t="str">
        <x:v>تأكيد Local Event وحسابه</x:v>
      </x:c>
      <x:c r="D8" s="28" t="str">
        <x:v>وقت التسليم الصحيح</x:v>
      </x:c>
      <x:c r="E8" s="28" t="str">
        <x:v>S01</x:v>
      </x:c>
      <x:c r="F8" s="28" t="str">
        <x:v>لم يبدأ</x:v>
      </x:c>
      <x:c r="G8" s="28" t="str">
        <x:v>حرج</x:v>
      </x:c>
    </x:row>
    <x:row r="9" ht="43" customHeight="1">
      <x:c r="A9" s="28" t="str">
        <x:v>SUB04</x:v>
      </x:c>
      <x:c r="B9" s="28" t="str">
        <x:v>الأهلية</x:v>
      </x:c>
      <x:c r="C9" s="28" t="str">
        <x:v>تأكيد السماح باستخدام عمل سابق</x:v>
      </x:c>
      <x:c r="D9" s="28" t="str">
        <x:v>رد رسمي</x:v>
      </x:c>
      <x:c r="E9" s="28" t="str">
        <x:v>S03</x:v>
      </x:c>
      <x:c r="F9" s="28" t="str">
        <x:v>محظور حتى التحقق</x:v>
      </x:c>
      <x:c r="G9" s="28" t="str">
        <x:v>حرج</x:v>
      </x:c>
    </x:row>
    <x:row r="10" ht="43" customHeight="1">
      <x:c r="A10" s="28" t="str">
        <x:v>SUB05</x:v>
      </x:c>
      <x:c r="B10" s="28" t="str">
        <x:v>المشروع</x:v>
      </x:c>
      <x:c r="C10" s="28" t="str">
        <x:v>تعبئة الاسم والوصف</x:v>
      </x:c>
      <x:c r="D10" s="28" t="str">
        <x:v>لا مبالغة</x:v>
      </x:c>
      <x:c r="E10" s="28" t="str">
        <x:v>S01</x:v>
      </x:c>
      <x:c r="F10" s="28" t="str">
        <x:v>لم يبدأ</x:v>
      </x:c>
      <x:c r="G10" s="28" t="str">
        <x:v>حرج</x:v>
      </x:c>
    </x:row>
    <x:row r="11" ht="43" customHeight="1">
      <x:c r="A11" s="28" t="str">
        <x:v>SUB06</x:v>
      </x:c>
      <x:c r="B11" s="28" t="str">
        <x:v>الحل</x:v>
      </x:c>
      <x:c r="C11" s="28" t="str">
        <x:v>تحديد ماذا بني خلال الحدث</x:v>
      </x:c>
      <x:c r="D11" s="28" t="str">
        <x:v>سجل وقت/commits</x:v>
      </x:c>
      <x:c r="E11" s="28" t="str">
        <x:v>S03</x:v>
      </x:c>
      <x:c r="F11" s="28" t="str">
        <x:v>لم يبدأ</x:v>
      </x:c>
      <x:c r="G11" s="28" t="str">
        <x:v>حرج</x:v>
      </x:c>
    </x:row>
    <x:row r="12" ht="43" customHeight="1">
      <x:c r="A12" s="28" t="str">
        <x:v>SUB07</x:v>
      </x:c>
      <x:c r="B12" s="28" t="str">
        <x:v>الدليل</x:v>
      </x:c>
      <x:c r="C12" s="28" t="str">
        <x:v>فيديو مسار كامل</x:v>
      </x:c>
      <x:c r="D12" s="28" t="str">
        <x:v>فيديو فعلي</x:v>
      </x:c>
      <x:c r="E12" s="28" t="str">
        <x:v>Pitch</x:v>
      </x:c>
      <x:c r="F12" s="28" t="str">
        <x:v>لم يبدأ</x:v>
      </x:c>
      <x:c r="G12" s="28" t="str">
        <x:v>P0</x:v>
      </x:c>
    </x:row>
    <x:row r="13" ht="43" customHeight="1">
      <x:c r="A13" s="28" t="str">
        <x:v>SUB08</x:v>
      </x:c>
      <x:c r="B13" s="28" t="str">
        <x:v>الرابط</x:v>
      </x:c>
      <x:c r="C13" s="28" t="str">
        <x:v>URL اللعبة يعمل</x:v>
      </x:c>
      <x:c r="D13" s="28" t="str">
        <x:v>اختبار متصفح نظيف</x:v>
      </x:c>
      <x:c r="E13" s="28" t="str">
        <x:v>README</x:v>
      </x:c>
      <x:c r="F13" s="28" t="str">
        <x:v>لم يبدأ</x:v>
      </x:c>
      <x:c r="G13" s="28" t="str">
        <x:v>حرج</x:v>
      </x:c>
    </x:row>
    <x:row r="14" ht="43" customHeight="1">
      <x:c r="A14" s="28" t="str">
        <x:v>SUB09</x:v>
      </x:c>
      <x:c r="B14" s="28" t="str">
        <x:v>نسخة بديلة</x:v>
      </x:c>
      <x:c r="C14" s="28" t="str">
        <x:v>HTML ZIP تشغيل بلا إنترنت</x:v>
      </x:c>
      <x:c r="D14" s="28" t="str">
        <x:v>ملف احتياطي</x:v>
      </x:c>
      <x:c r="E14" s="28" t="str">
        <x:v>README</x:v>
      </x:c>
      <x:c r="F14" s="28" t="str">
        <x:v>موجود حاليًا</x:v>
      </x:c>
      <x:c r="G14" s="28" t="str">
        <x:v>P0</x:v>
      </x:c>
    </x:row>
    <x:row r="15" ht="43" customHeight="1">
      <x:c r="A15" s="28" t="str">
        <x:v>SUB10</x:v>
      </x:c>
      <x:c r="B15" s="28" t="str">
        <x:v>المصادر</x:v>
      </x:c>
      <x:c r="C15" s="28" t="str">
        <x:v>مصادر NASA وروابطها</x:v>
      </x:c>
      <x:c r="D15" s="28" t="str">
        <x:v>تعليقات واضحة</x:v>
      </x:c>
      <x:c r="E15" s="28" t="str">
        <x:v>Sources</x:v>
      </x:c>
      <x:c r="F15" s="28" t="str">
        <x:v>مخطط</x:v>
      </x:c>
      <x:c r="G15" s="28" t="str">
        <x:v>P0</x:v>
      </x:c>
    </x:row>
    <x:row r="16" ht="43" customHeight="1">
      <x:c r="A16" s="28" t="str">
        <x:v>SUB11</x:v>
      </x:c>
      <x:c r="B16" s="28" t="str">
        <x:v>الحقوق</x:v>
      </x:c>
      <x:c r="C16" s="28" t="str">
        <x:v>قائمة أصول وتراخيص</x:v>
      </x:c>
      <x:c r="D16" s="28" t="str">
        <x:v>رخص كل أصل</x:v>
      </x:c>
      <x:c r="E16" s="28" t="str">
        <x:v>S13</x:v>
      </x:c>
      <x:c r="F16" s="28" t="str">
        <x:v>مخطط</x:v>
      </x:c>
      <x:c r="G16" s="28" t="str">
        <x:v>حرج</x:v>
      </x:c>
    </x:row>
    <x:row r="17" ht="43" customHeight="1">
      <x:c r="A17" s="28" t="str">
        <x:v>SUB12</x:v>
      </x:c>
      <x:c r="B17" s="28" t="str">
        <x:v>دقة المحتوى</x:v>
      </x:c>
      <x:c r="C17" s="28" t="str">
        <x:v>وسم Simulation</x:v>
      </x:c>
      <x:c r="D17" s="28" t="str">
        <x:v>شهادة reviewer</x:v>
      </x:c>
      <x:c r="E17" s="28" t="str">
        <x:v>Claims</x:v>
      </x:c>
      <x:c r="F17" s="28" t="str">
        <x:v>لم يبدأ</x:v>
      </x:c>
      <x:c r="G17" s="28" t="str">
        <x:v>P0</x:v>
      </x:c>
    </x:row>
    <x:row r="18" ht="43" customHeight="1">
      <x:c r="A18" s="28" t="str">
        <x:v>SUB13</x:v>
      </x:c>
      <x:c r="B18" s="28" t="str">
        <x:v>المستخدم</x:v>
      </x:c>
      <x:c r="C18" s="28" t="str">
        <x:v>اختبار قصير/شاهد</x:v>
      </x:c>
      <x:c r="D18" s="28" t="str">
        <x:v>بروتوكول موافقة عند قاصرين</x:v>
      </x:c>
      <x:c r="E18" s="28" t="str">
        <x:v>User Test</x:v>
      </x:c>
      <x:c r="F18" s="28" t="str">
        <x:v>لم يبدأ</x:v>
      </x:c>
      <x:c r="G18" s="28" t="str">
        <x:v>P0</x:v>
      </x:c>
    </x:row>
    <x:row r="19" ht="43" customHeight="1">
      <x:c r="A19" s="28" t="str">
        <x:v>SUB14</x:v>
      </x:c>
      <x:c r="B19" s="28" t="str">
        <x:v>المقياس</x:v>
      </x:c>
      <x:c r="C19" s="28" t="str">
        <x:v>نتائج اختبار قبلي/بعدي</x:v>
      </x:c>
      <x:c r="D19" s="28" t="str">
        <x:v>لا أرقام مختلقة</x:v>
      </x:c>
      <x:c r="E19" s="28" t="str">
        <x:v>Learning</x:v>
      </x:c>
      <x:c r="F19" s="28" t="str">
        <x:v>لم يبدأ</x:v>
      </x:c>
      <x:c r="G19" s="28" t="str">
        <x:v>P1</x:v>
      </x:c>
    </x:row>
    <x:row r="20" ht="43" customHeight="1">
      <x:c r="A20" s="28" t="str">
        <x:v>SUB15</x:v>
      </x:c>
      <x:c r="B20" s="28" t="str">
        <x:v>الملفات</x:v>
      </x:c>
      <x:c r="C20" s="28" t="str">
        <x:v>README تشغيل واضح</x:v>
      </x:c>
      <x:c r="D20" s="28" t="str">
        <x:v>المتصفح والتحكم</x:v>
      </x:c>
      <x:c r="E20" s="28" t="str">
        <x:v>README</x:v>
      </x:c>
      <x:c r="F20" s="28" t="str">
        <x:v>موجود حاليًا</x:v>
      </x:c>
      <x:c r="G20" s="28" t="str">
        <x:v>P0</x:v>
      </x:c>
    </x:row>
    <x:row r="21" ht="43" customHeight="1">
      <x:c r="A21" s="28" t="str">
        <x:v>SUB16</x:v>
      </x:c>
      <x:c r="B21" s="28" t="str">
        <x:v>الإضافات</x:v>
      </x:c>
      <x:c r="C21" s="28" t="str">
        <x:v>صور واجهة</x:v>
      </x:c>
      <x:c r="D21" s="28" t="str">
        <x:v>صور من اللعبة لا AI وحده</x:v>
      </x:c>
      <x:c r="E21" s="28" t="str">
        <x:v>Artifacts</x:v>
      </x:c>
      <x:c r="F21" s="28" t="str">
        <x:v>مخطط</x:v>
      </x:c>
      <x:c r="G21" s="28" t="str">
        <x:v>P1</x:v>
      </x:c>
    </x:row>
    <x:row r="22" ht="43" customHeight="1">
      <x:c r="A22" s="28" t="str">
        <x:v>SUB17</x:v>
      </x:c>
      <x:c r="B22" s="28" t="str">
        <x:v>التصريح</x:v>
      </x:c>
      <x:c r="C22" s="28" t="str">
        <x:v>المساهمة من أدوات AI</x:v>
      </x:c>
      <x:c r="D22" s="28" t="str">
        <x:v>بيان صادق</x:v>
      </x:c>
      <x:c r="E22" s="28" t="str">
        <x:v>أهلية</x:v>
      </x:c>
      <x:c r="F22" s="28" t="str">
        <x:v>لم يبدأ</x:v>
      </x:c>
      <x:c r="G22" s="28" t="str">
        <x:v>حرج</x:v>
      </x:c>
    </x:row>
    <x:row r="23" ht="43" customHeight="1">
      <x:c r="A23" s="28" t="str">
        <x:v>SUB18</x:v>
      </x:c>
      <x:c r="B23" s="28" t="str">
        <x:v>التقديم</x:v>
      </x:c>
      <x:c r="C23" s="28" t="str">
        <x:v>مراجعة نهائية مزدوجة</x:v>
      </x:c>
      <x:c r="D23" s="28" t="str">
        <x:v>توقيع قائد/علمي</x:v>
      </x:c>
      <x:c r="E23" s="28" t="str">
        <x:v>Release</x:v>
      </x:c>
      <x:c r="F23" s="28" t="str">
        <x:v>لم يبدأ</x:v>
      </x:c>
      <x:c r="G23" s="28" t="str">
        <x:v>حرج</x:v>
      </x:c>
    </x:row>
    <x:row r="24" ht="43" customHeight="1">
      <x:c r="A24" s="28" t="str">
        <x:v>SUB19</x:v>
      </x:c>
      <x:c r="B24" s="28" t="str">
        <x:v>الموعد</x:v>
      </x:c>
      <x:c r="C24" s="28" t="str">
        <x:v>ارفع قبل 23:59 محليًا</x:v>
      </x:c>
      <x:c r="D24" s="28" t="str">
        <x:v>إثبات Submit ناجح</x:v>
      </x:c>
      <x:c r="E24" s="28" t="str">
        <x:v>S01</x:v>
      </x:c>
      <x:c r="F24" s="28" t="str">
        <x:v>لم يبدأ</x:v>
      </x:c>
      <x:c r="G24" s="28" t="str">
        <x:v>حرج</x:v>
      </x:c>
    </x:row>
    <x:row r="25" ht="43" customHeight="1">
      <x:c r="A25" s="28" t="str">
        <x:v>SUB20</x:v>
      </x:c>
      <x:c r="B25" s="28" t="str">
        <x:v>النزاهة</x:v>
      </x:c>
      <x:c r="C25" s="28" t="str">
        <x:v>احتفظ برسائل الجهة المنظمة</x:v>
      </x:c>
      <x:c r="D25" s="28" t="str">
        <x:v>رابط/بريد رسمي</x:v>
      </x:c>
      <x:c r="E25" s="28" t="str">
        <x:v>S03</x:v>
      </x:c>
      <x:c r="F25" s="28" t="str">
        <x:v>لم يبدأ</x:v>
      </x:c>
      <x:c r="G25" s="28" t="str">
        <x:v>حرج</x:v>
      </x:c>
    </x:row>
  </x:sheetData>
  <x:mergeCells>
    <x:mergeCell ref="A1:G1"/>
    <x:mergeCell ref="A2:G2"/>
    <x:mergeCell ref="A3:G3"/>
  </x:mergeCells>
  <x:conditionalFormatting sqref="F6:F25">
    <x:cfRule type="expression" dxfId="73" priority="1">
      <x:formula>F6="مكتمل"</x:formula>
    </x:cfRule>
    <x:cfRule type="expression" dxfId="74" priority="2">
      <x:formula>F6="محظور حتى التحقق"</x:formula>
    </x:cfRule>
    <x:cfRule type="expression" dxfId="75" priority="3">
      <x:formula>F6="يحتاج تحقق"</x:formula>
    </x:cfRule>
  </x:conditionalFormatting>
  <x:conditionalFormatting sqref="G6:G25">
    <x:cfRule type="expression" dxfId="76" priority="4">
      <x:formula>G6="P0"</x:formula>
    </x:cfRule>
    <x:cfRule type="expression" dxfId="77" priority="5">
      <x:formula>G6="حرج"</x:formula>
    </x:cfRule>
  </x:conditionalFormatting>
  <x:dataValidations count="1">
    <x:dataValidation type="list" sqref="F6:F25">
      <x:formula1>"موجود حاليًا,قيد التطوير,مخطط,يحتاج تحقق,مكتمل,لم يبدأ,مؤجل,محظور حتى التحقق,غير منطبق"</x:formula1>
    </x:dataValidation>
  </x:dataValidation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37" hidden="0" customWidth="1"/>
    <x:col min="3" max="3" width="82" hidden="0" customWidth="1"/>
    <x:col min="4" max="4" width="67" hidden="0" customWidth="1"/>
  </x:cols>
  <x:sheetData>
    <x:row r="1" ht="38" customHeight="1">
      <x:c r="A1" s="4" t="str">
        <x:v>القاموس والتوطين</x:v>
      </x:c>
      <x:c r="B1" s="4"/>
      <x:c r="C1" s="4"/>
      <x:c r="D1" s="4"/>
    </x:row>
    <x:row r="2" ht="29" customHeight="1">
      <x:c r="A2" s="10" t="str">
        <x:v>قاموس عربي/إنجليزي لتوحيد واجهات اللعبة أمام الطلاب والمحكمين</x:v>
      </x:c>
      <x:c r="B2" s="10"/>
      <x:c r="C2" s="10"/>
      <x:c r="D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</x:row>
    <x:row r="5" ht="34" customHeight="1">
      <x:c r="A5" s="21" t="str">
        <x:v>EN</x:v>
      </x:c>
      <x:c r="B5" s="21" t="str">
        <x:v>العربية</x:v>
      </x:c>
      <x:c r="C5" s="21" t="str">
        <x:v>المعنى داخل اللعبة</x:v>
      </x:c>
      <x:c r="D5" s="21" t="str">
        <x:v>ملاحظات ترجمة</x:v>
      </x:c>
    </x:row>
    <x:row r="6" ht="43" customHeight="1">
      <x:c r="A6" s="28" t="str">
        <x:v>Evidence</x:v>
      </x:c>
      <x:c r="B6" s="28" t="str">
        <x:v>دليل</x:v>
      </x:c>
      <x:c r="C6" s="28" t="str">
        <x:v>معلومة تقود لاستنتاج مدعوم</x:v>
      </x:c>
      <x:c r="D6" s="28" t="str">
        <x:v>ليس بطاقة عشوائية</x:v>
      </x:c>
    </x:row>
    <x:row r="7" ht="43" customHeight="1">
      <x:c r="A7" s="28" t="str">
        <x:v>Scientific claim</x:v>
      </x:c>
      <x:c r="B7" s="28" t="str">
        <x:v>ادعاء علمي</x:v>
      </x:c>
      <x:c r="C7" s="28" t="str">
        <x:v>معلومة قابلة للتوثيق</x:v>
      </x:c>
      <x:c r="D7" s="28" t="str">
        <x:v>يجب إرفاق مصدر</x:v>
      </x:c>
    </x:row>
    <x:row r="8" ht="43" customHeight="1">
      <x:c r="A8" s="28" t="str">
        <x:v>Simulation</x:v>
      </x:c>
      <x:c r="B8" s="28" t="str">
        <x:v>محاكاة</x:v>
      </x:c>
      <x:c r="C8" s="28" t="str">
        <x:v>نموذج تعليمي افتراضي</x:v>
      </x:c>
      <x:c r="D8" s="28" t="str">
        <x:v>لا يعيد حدثًا حرفيًا</x:v>
      </x:c>
    </x:row>
    <x:row r="9" ht="43" customHeight="1">
      <x:c r="A9" s="28" t="str">
        <x:v>Reconstruction</x:v>
      </x:c>
      <x:c r="B9" s="28" t="str">
        <x:v>إعادة بناء</x:v>
      </x:c>
      <x:c r="C9" s="28" t="str">
        <x:v>ربط الأدلة بالاستنتاج</x:v>
      </x:c>
      <x:c r="D9" s="28" t="str">
        <x:v>ليس إحياء آلة</x:v>
      </x:c>
    </x:row>
    <x:row r="10" ht="43" customHeight="1">
      <x:c r="A10" s="28" t="str">
        <x:v>Lunar Roving Vehicle</x:v>
      </x:c>
      <x:c r="B10" s="28" t="str">
        <x:v>المركبة القمرية</x:v>
      </x:c>
      <x:c r="C10" s="28" t="str">
        <x:v>عربة كهربائية لبعثات Apollo</x:v>
      </x:c>
      <x:c r="D10" s="28" t="str">
        <x:v>LRV</x:v>
      </x:c>
    </x:row>
    <x:row r="11" ht="43" customHeight="1">
      <x:c r="A11" s="28" t="str">
        <x:v>Apollo 15</x:v>
      </x:c>
      <x:c r="B11" s="28" t="str">
        <x:v>أبولو 15</x:v>
      </x:c>
      <x:c r="C11" s="28" t="str">
        <x:v>بعثة مأهولة للقمر</x:v>
      </x:c>
      <x:c r="D11" s="28" t="str">
        <x:v>1971</x:v>
      </x:c>
    </x:row>
    <x:row r="12" ht="43" customHeight="1">
      <x:c r="A12" s="28" t="str">
        <x:v>Opportunity</x:v>
      </x:c>
      <x:c r="B12" s="28" t="str">
        <x:v>أوبورتونيتي</x:v>
      </x:c>
      <x:c r="C12" s="28" t="str">
        <x:v>مركبة ناسا المريخية</x:v>
      </x:c>
      <x:c r="D12" s="28" t="str">
        <x:v>MER-B</x:v>
      </x:c>
    </x:row>
    <x:row r="13" ht="43" customHeight="1">
      <x:c r="A13" s="28" t="str">
        <x:v>InSight</x:v>
      </x:c>
      <x:c r="B13" s="28" t="str">
        <x:v>إنسايت</x:v>
      </x:c>
      <x:c r="C13" s="28" t="str">
        <x:v>مسبار لدراسة داخل المريخ</x:v>
      </x:c>
      <x:c r="D13" s="28" t="str">
        <x:v>SEIS</x:v>
      </x:c>
    </x:row>
    <x:row r="14" ht="43" customHeight="1">
      <x:c r="A14" s="28" t="str">
        <x:v>Archive</x:v>
      </x:c>
      <x:c r="B14" s="28" t="str">
        <x:v>الأرشيف</x:v>
      </x:c>
      <x:c r="C14" s="28" t="str">
        <x:v>مركز حفظ وربط المعارف</x:v>
      </x:c>
      <x:c r="D14" s="28" t="str">
        <x:v>ORIGIN خيالي</x:v>
      </x:c>
    </x:row>
    <x:row r="15" ht="43" customHeight="1">
      <x:c r="A15" s="28" t="str">
        <x:v>Orbital archive</x:v>
      </x:c>
      <x:c r="B15" s="28" t="str">
        <x:v>أرشيف مداري</x:v>
      </x:c>
      <x:c r="C15" s="28" t="str">
        <x:v>محطة قصة خيالية</x:v>
      </x:c>
      <x:c r="D15" s="28" t="str">
        <x:v>ليس مشروع NASA</x:v>
      </x:c>
    </x:row>
    <x:row r="16" ht="43" customHeight="1">
      <x:c r="A16" s="28" t="str">
        <x:v>ECHO</x:v>
      </x:c>
      <x:c r="B16" s="28" t="str">
        <x:v>إيكو</x:v>
      </x:c>
      <x:c r="C16" s="28" t="str">
        <x:v>مرشد AI خيالي</x:v>
      </x:c>
      <x:c r="D16" s="28" t="str">
        <x:v>ليس مساعد NASA</x:v>
      </x:c>
    </x:row>
    <x:row r="17" ht="43" customHeight="1">
      <x:c r="A17" s="28" t="str">
        <x:v>Rover</x:v>
      </x:c>
      <x:c r="B17" s="28" t="str">
        <x:v>مركبة جوالة</x:v>
      </x:c>
      <x:c r="C17" s="28" t="str">
        <x:v>مركبة سطحية</x:v>
      </x:c>
      <x:c r="D17" s="28" t="str">
        <x:v>لا تطابق دائمًا LRV</x:v>
      </x:c>
    </x:row>
    <x:row r="18" ht="43" customHeight="1">
      <x:c r="A18" s="28" t="str">
        <x:v>Evidence link</x:v>
      </x:c>
      <x:c r="B18" s="28" t="str">
        <x:v>رابط الأدلة</x:v>
      </x:c>
      <x:c r="C18" s="28" t="str">
        <x:v>صلة معلومة بنتيجة</x:v>
      </x:c>
      <x:c r="D18" s="28" t="str">
        <x:v>أساس ألغاز</x:v>
      </x:c>
    </x:row>
    <x:row r="19" ht="43" customHeight="1">
      <x:c r="A19" s="28" t="str">
        <x:v>Route</x:v>
      </x:c>
      <x:c r="B19" s="28" t="str">
        <x:v>مسار</x:v>
      </x:c>
      <x:c r="C19" s="28" t="str">
        <x:v>اختيار طريق</x:v>
      </x:c>
      <x:c r="D19" s="28" t="str">
        <x:v>افتراضي</x:v>
      </x:c>
    </x:row>
    <x:row r="20" ht="43" customHeight="1">
      <x:c r="A20" s="28" t="str">
        <x:v>Traverse</x:v>
      </x:c>
      <x:c r="B20" s="28" t="str">
        <x:v>رحلة سطحية</x:v>
      </x:c>
      <x:c r="C20" s="28" t="str">
        <x:v>حركة علمية فوق سطح جرم</x:v>
      </x:c>
      <x:c r="D20" s="28" t="str">
        <x:v>سياق تاريخي إن موثق</x:v>
      </x:c>
    </x:row>
    <x:row r="21" ht="43" customHeight="1">
      <x:c r="A21" s="28" t="str">
        <x:v>Sample</x:v>
      </x:c>
      <x:c r="B21" s="28" t="str">
        <x:v>عينة</x:v>
      </x:c>
      <x:c r="C21" s="28" t="str">
        <x:v>مادة جُمعت للدراسة</x:v>
      </x:c>
      <x:c r="D21" s="28" t="str">
        <x:v>حزمنا في اللعبة رمزية</x:v>
      </x:c>
    </x:row>
    <x:row r="22" ht="43" customHeight="1">
      <x:c r="A22" s="28" t="str">
        <x:v>Cache</x:v>
      </x:c>
      <x:c r="B22" s="28" t="str">
        <x:v>حزمة دليل</x:v>
      </x:c>
      <x:c r="C22" s="28" t="str">
        <x:v>مقتنى داخل مستوى</x:v>
      </x:c>
      <x:c r="D22" s="28" t="str">
        <x:v>مصطلح لعبة</x:v>
      </x:c>
    </x:row>
    <x:row r="23" ht="43" customHeight="1">
      <x:c r="A23" s="28" t="str">
        <x:v>Mission</x:v>
      </x:c>
      <x:c r="B23" s="28" t="str">
        <x:v>مهمة</x:v>
      </x:c>
      <x:c r="C23" s="28" t="str">
        <x:v>فصل / مهمة بحث</x:v>
      </x:c>
      <x:c r="D23" s="28" t="str">
        <x:v>لا تعني بعثة جديدة</x:v>
      </x:c>
    </x:row>
    <x:row r="24" ht="43" customHeight="1">
      <x:c r="A24" s="28" t="str">
        <x:v>Sol</x:v>
      </x:c>
      <x:c r="B24" s="28" t="str">
        <x:v>يوم مريخي</x:v>
      </x:c>
      <x:c r="C24" s="28" t="str">
        <x:v>دورة يوم شمسي على المريخ</x:v>
      </x:c>
      <x:c r="D24" s="28" t="str">
        <x:v>مختلف عن يوم أرضي</x:v>
      </x:c>
    </x:row>
    <x:row r="25" ht="43" customHeight="1">
      <x:c r="A25" s="28" t="str">
        <x:v>Solar panel</x:v>
      </x:c>
      <x:c r="B25" s="28" t="str">
        <x:v>لوح شمسي</x:v>
      </x:c>
      <x:c r="C25" s="28" t="str">
        <x:v>مولد كهرباء من الشمس</x:v>
      </x:c>
      <x:c r="D25" s="28" t="str">
        <x:v>Opportunity</x:v>
      </x:c>
    </x:row>
    <x:row r="26" ht="43" customHeight="1">
      <x:c r="A26" s="28" t="str">
        <x:v>Dust storm</x:v>
      </x:c>
      <x:c r="B26" s="28" t="str">
        <x:v>عاصفة غبار</x:v>
      </x:c>
      <x:c r="C26" s="28" t="str">
        <x:v>تؤثر على أشعة الشمس</x:v>
      </x:c>
      <x:c r="D26" s="28" t="str">
        <x:v>Opportunity</x:v>
      </x:c>
    </x:row>
    <x:row r="27" ht="43" customHeight="1">
      <x:c r="A27" s="28" t="str">
        <x:v>Energy budget</x:v>
      </x:c>
      <x:c r="B27" s="28" t="str">
        <x:v>ميزانية الطاقة</x:v>
      </x:c>
      <x:c r="C27" s="28" t="str">
        <x:v>توازن توليد/استهلاك</x:v>
      </x:c>
      <x:c r="D27" s="28" t="str">
        <x:v>Wh</x:v>
      </x:c>
    </x:row>
    <x:row r="28" ht="43" customHeight="1">
      <x:c r="A28" s="28" t="str">
        <x:v>Battery capacity</x:v>
      </x:c>
      <x:c r="B28" s="28" t="str">
        <x:v>سعة البطارية</x:v>
      </x:c>
      <x:c r="C28" s="28" t="str">
        <x:v>أعلى طاقة مخزنة</x:v>
      </x:c>
      <x:c r="D28" s="28" t="str">
        <x:v>Wh</x:v>
      </x:c>
    </x:row>
    <x:row r="29" ht="43" customHeight="1">
      <x:c r="A29" s="28" t="str">
        <x:v>Power</x:v>
      </x:c>
      <x:c r="B29" s="28" t="str">
        <x:v>قدرة</x:v>
      </x:c>
      <x:c r="C29" s="28" t="str">
        <x:v>معدل الطاقة</x:v>
      </x:c>
      <x:c r="D29" s="28" t="str">
        <x:v>W</x:v>
      </x:c>
    </x:row>
    <x:row r="30" ht="43" customHeight="1">
      <x:c r="A30" s="28" t="str">
        <x:v>Energy</x:v>
      </x:c>
      <x:c r="B30" s="28" t="str">
        <x:v>طاقة</x:v>
      </x:c>
      <x:c r="C30" s="28" t="str">
        <x:v>قدرة×زمن</x:v>
      </x:c>
      <x:c r="D30" s="28" t="str">
        <x:v>Wh/J</x:v>
      </x:c>
    </x:row>
    <x:row r="31" ht="43" customHeight="1">
      <x:c r="A31" s="28" t="str">
        <x:v>Velocity</x:v>
      </x:c>
      <x:c r="B31" s="28" t="str">
        <x:v>سرعة متجهة</x:v>
      </x:c>
      <x:c r="C31" s="28" t="str">
        <x:v>مسافة/زمن مع اتجاه</x:v>
      </x:c>
      <x:c r="D31" s="28" t="str">
        <x:v>m/s</x:v>
      </x:c>
    </x:row>
    <x:row r="32" ht="43" customHeight="1">
      <x:c r="A32" s="28" t="str">
        <x:v>Speed</x:v>
      </x:c>
      <x:c r="B32" s="28" t="str">
        <x:v>سرعة</x:v>
      </x:c>
      <x:c r="C32" s="28" t="str">
        <x:v>مقدار المسافة/الوقت</x:v>
      </x:c>
      <x:c r="D32" s="28" t="str">
        <x:v>km/h</x:v>
      </x:c>
    </x:row>
    <x:row r="33" ht="43" customHeight="1">
      <x:c r="A33" s="28" t="str">
        <x:v>Distance</x:v>
      </x:c>
      <x:c r="B33" s="28" t="str">
        <x:v>مسافة</x:v>
      </x:c>
      <x:c r="C33" s="28" t="str">
        <x:v>طول المسار</x:v>
      </x:c>
      <x:c r="D33" s="28" t="str">
        <x:v>m/km</x:v>
      </x:c>
    </x:row>
    <x:row r="34" ht="43" customHeight="1">
      <x:c r="A34" s="28" t="str">
        <x:v>Time remaining</x:v>
      </x:c>
      <x:c r="B34" s="28" t="str">
        <x:v>زمن متبقٍ</x:v>
      </x:c>
      <x:c r="C34" s="28" t="str">
        <x:v>الوقت المتاح بعد النقل</x:v>
      </x:c>
      <x:c r="D34" s="28" t="str">
        <x:v>min</x:v>
      </x:c>
    </x:row>
    <x:row r="35" ht="43" customHeight="1">
      <x:c r="A35" s="28" t="str">
        <x:v>Observation</x:v>
      </x:c>
      <x:c r="B35" s="28" t="str">
        <x:v>ملاحظة علمية</x:v>
      </x:c>
      <x:c r="C35" s="28" t="str">
        <x:v>رصد ظاهرة</x:v>
      </x:c>
      <x:c r="D35" s="28" t="str">
        <x:v>ليس اختبار حفظ</x:v>
      </x:c>
    </x:row>
    <x:row r="36" ht="43" customHeight="1">
      <x:c r="A36" s="28" t="str">
        <x:v>Source ID</x:v>
      </x:c>
      <x:c r="B36" s="28" t="str">
        <x:v>معرف مصدر</x:v>
      </x:c>
      <x:c r="C36" s="28" t="str">
        <x:v>رابط السجل العلمي</x:v>
      </x:c>
      <x:c r="D36" s="28" t="str">
        <x:v>S01...</x:v>
      </x:c>
    </x:row>
    <x:row r="37" ht="43" customHeight="1">
      <x:c r="A37" s="28" t="str">
        <x:v>CC0</x:v>
      </x:c>
      <x:c r="B37" s="28" t="str">
        <x:v>تنازل عام عن الحقوق</x:v>
      </x:c>
      <x:c r="C37" s="28" t="str">
        <x:v>حزمة مجانية مع شروط الحزمة</x:v>
      </x:c>
      <x:c r="D37" s="28" t="str">
        <x:v>تحقق الأصل</x:v>
      </x:c>
    </x:row>
    <x:row r="38" ht="43" customHeight="1">
      <x:c r="A38" s="28" t="str">
        <x:v>RTL</x:v>
      </x:c>
      <x:c r="B38" s="28" t="str">
        <x:v>من اليمين إلى اليسار</x:v>
      </x:c>
      <x:c r="C38" s="28" t="str">
        <x:v>اتجاه واجهة العربية</x:v>
      </x:c>
      <x:c r="D38" s="28" t="str">
        <x:v>يتطلب اختبار</x:v>
      </x:c>
    </x:row>
    <x:row r="39" ht="43" customHeight="1">
      <x:c r="A39" s="28" t="str">
        <x:v>Accessibility</x:v>
      </x:c>
      <x:c r="B39" s="28" t="str">
        <x:v>إتاحة</x:v>
      </x:c>
      <x:c r="C39" s="28" t="str">
        <x:v>إمكانية لعب بفئات مختلفة</x:v>
      </x:c>
      <x:c r="D39" s="28" t="str">
        <x:v>خطة لا دعوى</x:v>
      </x:c>
    </x:row>
    <x:row r="40" ht="43" customHeight="1">
      <x:c r="A40" s="28" t="str">
        <x:v>Prototype</x:v>
      </x:c>
      <x:c r="B40" s="28" t="str">
        <x:v>نموذج أولي</x:v>
      </x:c>
      <x:c r="C40" s="28" t="str">
        <x:v>جزء قابل للتجربة</x:v>
      </x:c>
      <x:c r="D40" s="28" t="str">
        <x:v>ليس منتجًا تجاريًا</x:v>
      </x:c>
    </x:row>
    <x:row r="41" ht="43" customHeight="1">
      <x:c r="A41" s="28" t="str">
        <x:v>Vertical slice</x:v>
      </x:c>
      <x:c r="B41" s="28" t="str">
        <x:v>شريحة رأسية</x:v>
      </x:c>
      <x:c r="C41" s="28" t="str">
        <x:v>تجربة قصيرة مكتملة</x:v>
      </x:c>
      <x:c r="D41" s="28" t="str">
        <x:v>أفضل أولًا</x:v>
      </x:c>
    </x:row>
    <x:row r="42" ht="43" customHeight="1">
      <x:c r="A42" s="28" t="str">
        <x:v>Game loop</x:v>
      </x:c>
      <x:c r="B42" s="28" t="str">
        <x:v>حلقة لعب</x:v>
      </x:c>
      <x:c r="C42" s="28" t="str">
        <x:v>استكشف→جرّب→فسّر</x:v>
      </x:c>
      <x:c r="D42" s="28" t="str">
        <x:v>قلب التجربة</x:v>
      </x:c>
    </x:row>
    <x:row r="43" ht="43" customHeight="1">
      <x:c r="A43" s="28" t="str">
        <x:v>Softlock</x:v>
      </x:c>
      <x:c r="B43" s="28" t="str">
        <x:v>انسداد تقدم</x:v>
      </x:c>
      <x:c r="C43" s="28" t="str">
        <x:v>لا طريق لاستكمال اللعبة</x:v>
      </x:c>
      <x:c r="D43" s="28" t="str">
        <x:v>خطأ حرج</x:v>
      </x:c>
    </x:row>
    <x:row r="44" ht="43" customHeight="1">
      <x:c r="A44" s="28" t="str">
        <x:v>Critical bug</x:v>
      </x:c>
      <x:c r="B44" s="28" t="str">
        <x:v>عطل حرج</x:v>
      </x:c>
      <x:c r="C44" s="28" t="str">
        <x:v>يمنع تسليم أو تقدم</x:v>
      </x:c>
      <x:c r="D44" s="28" t="str">
        <x:v>يوقف الإطلاق</x:v>
      </x:c>
    </x:row>
    <x:row r="45" ht="43" customHeight="1">
      <x:c r="A45" s="28" t="str">
        <x:v>E2E</x:v>
      </x:c>
      <x:c r="B45" s="28" t="str">
        <x:v>نهاية إلى نهاية</x:v>
      </x:c>
      <x:c r="C45" s="28" t="str">
        <x:v>اختبار رحلة كاملة</x:v>
      </x:c>
      <x:c r="D45" s="28" t="str">
        <x:v>Playwright</x:v>
      </x:c>
    </x:row>
    <x:row r="46" ht="43" customHeight="1">
      <x:c r="A46" s="28" t="str">
        <x:v>Fidelity</x:v>
      </x:c>
      <x:c r="B46" s="28" t="str">
        <x:v>دقة مطابقة</x:v>
      </x:c>
      <x:c r="C46" s="28" t="str">
        <x:v>مدى مطابقة محاكاة لواقع</x:v>
      </x:c>
      <x:c r="D46" s="28" t="str">
        <x:v>نماذجنا تقريبية</x:v>
      </x:c>
    </x:row>
    <x:row r="47" ht="43" customHeight="1">
      <x:c r="A47" s="28" t="str">
        <x:v>NASA endorsement</x:v>
      </x:c>
      <x:c r="B47" s="28" t="str">
        <x:v>اعتماد NASA</x:v>
      </x:c>
      <x:c r="C47" s="28" t="str">
        <x:v>ادعاء رعاية</x:v>
      </x:c>
      <x:c r="D47" s="28" t="str">
        <x:v>غير موجود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2" hidden="0" customWidth="1"/>
    <x:col min="3" max="3" width="19" hidden="0" customWidth="1"/>
    <x:col min="4" max="4" width="79" hidden="0" customWidth="1"/>
    <x:col min="5" max="5" width="36" hidden="0" customWidth="1"/>
    <x:col min="6" max="6" width="23" hidden="0" customWidth="1"/>
  </x:cols>
  <x:sheetData>
    <x:row r="1" ht="38" customHeight="1">
      <x:c r="A1" s="4" t="str">
        <x:v>المقاييس والتجارب</x:v>
      </x:c>
      <x:c r="B1" s="4"/>
      <x:c r="C1" s="4"/>
      <x:c r="D1" s="4"/>
      <x:c r="E1" s="4"/>
      <x:c r="F1" s="4"/>
    </x:row>
    <x:row r="2" ht="29" customHeight="1">
      <x:c r="A2" s="10" t="str">
        <x:v>مؤشرات أثر/متعة/جودة مستهدفة؛ لا توجد نتائج مستخدمين مثبتة داخل الملف</x:v>
      </x:c>
      <x:c r="B2" s="10"/>
      <x:c r="C2" s="10"/>
      <x:c r="D2" s="10"/>
      <x:c r="E2" s="10"/>
      <x:c r="F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</x:row>
    <x:row r="5" ht="34" customHeight="1">
      <x:c r="A5" s="21" t="str">
        <x:v>ID</x:v>
      </x:c>
      <x:c r="B5" s="21" t="str">
        <x:v>المقياس</x:v>
      </x:c>
      <x:c r="C5" s="21" t="str">
        <x:v>الوحدة</x:v>
      </x:c>
      <x:c r="D5" s="21" t="str">
        <x:v>طريقة الحساب/الجمع</x:v>
      </x:c>
      <x:c r="E5" s="21" t="str">
        <x:v>الهدف الافتراضي</x:v>
      </x:c>
      <x:c r="F5" s="21" t="str">
        <x:v>القيمة الفعلية</x:v>
      </x:c>
    </x:row>
    <x:row r="6" ht="43" customHeight="1">
      <x:c r="A6" s="28" t="str">
        <x:v>M01</x:v>
      </x:c>
      <x:c r="B6" s="28" t="str">
        <x:v>Time to first action</x:v>
      </x:c>
      <x:c r="C6" s="28" t="str">
        <x:v>ثوانٍ</x:v>
      </x:c>
      <x:c r="D6" s="28" t="str">
        <x:v>من الضغط على Start إلى أول فعل</x:v>
      </x:c>
      <x:c r="E6" s="28" t="str">
        <x:v>≤30s هدف</x:v>
      </x:c>
      <x:c r="F6" s="28" t="str">
        <x:v>لم يُقَس</x:v>
      </x:c>
    </x:row>
    <x:row r="7" ht="43" customHeight="1">
      <x:c r="A7" s="28" t="str">
        <x:v>M02</x:v>
      </x:c>
      <x:c r="B7" s="28" t="str">
        <x:v>First mission completion</x:v>
      </x:c>
      <x:c r="C7" s="28" t="str">
        <x:v>نسبة مئوية</x:v>
      </x:c>
      <x:c r="D7" s="28" t="str">
        <x:v>من أنهوا Apollo من العينة</x:v>
      </x:c>
      <x:c r="E7" s="28" t="str">
        <x:v>≥80% هدف</x:v>
      </x:c>
      <x:c r="F7" s="28" t="str">
        <x:v>لم يُقَس</x:v>
      </x:c>
    </x:row>
    <x:row r="8" ht="43" customHeight="1">
      <x:c r="A8" s="28" t="str">
        <x:v>M03</x:v>
      </x:c>
      <x:c r="B8" s="28" t="str">
        <x:v>Enjoyment self report</x:v>
      </x:c>
      <x:c r="C8" s="28" t="str">
        <x:v>1–5</x:v>
      </x:c>
      <x:c r="D8" s="28" t="str">
        <x:v>سؤال بعد 10 دقائق</x:v>
      </x:c>
      <x:c r="E8" s="28" t="str">
        <x:v>≥4/5 هدف</x:v>
      </x:c>
      <x:c r="F8" s="28" t="str">
        <x:v>لم يُقَس</x:v>
      </x:c>
    </x:row>
    <x:row r="9" ht="43" customHeight="1">
      <x:c r="A9" s="28" t="str">
        <x:v>M04</x:v>
      </x:c>
      <x:c r="B9" s="28" t="str">
        <x:v>Learning gain</x:v>
      </x:c>
      <x:c r="C9" s="28" t="str">
        <x:v>نقاط مئوية</x:v>
      </x:c>
      <x:c r="D9" s="28" t="str">
        <x:v>بعد − قبل (أسئلة متكافئة)</x:v>
      </x:c>
      <x:c r="E9" s="28" t="str">
        <x:v>≥20 نقطة مئوية هدف</x:v>
      </x:c>
      <x:c r="F9" s="28" t="str">
        <x:v>لم يُقَس</x:v>
      </x:c>
    </x:row>
    <x:row r="10" ht="43" customHeight="1">
      <x:c r="A10" s="28" t="str">
        <x:v>M05</x:v>
      </x:c>
      <x:c r="B10" s="28" t="str">
        <x:v>Puzzle success without hint</x:v>
      </x:c>
      <x:c r="C10" s="28" t="str">
        <x:v>نسبة</x:v>
      </x:c>
      <x:c r="D10" s="28" t="str">
        <x:v>عدد من نجحوا دون تلميح / كل من جرب</x:v>
      </x:c>
      <x:c r="E10" s="28" t="str">
        <x:v>مؤشر مراقبة</x:v>
      </x:c>
      <x:c r="F10" s="28" t="str">
        <x:v>لم يُقَس</x:v>
      </x:c>
    </x:row>
    <x:row r="11" ht="43" customHeight="1">
      <x:c r="A11" s="28" t="str">
        <x:v>M06</x:v>
      </x:c>
      <x:c r="B11" s="28" t="str">
        <x:v>Puzzle median time</x:v>
      </x:c>
      <x:c r="C11" s="28" t="str">
        <x:v>ثوانٍ</x:v>
      </x:c>
      <x:c r="D11" s="28" t="str">
        <x:v>وسيط زمن كل لغز</x:v>
      </x:c>
      <x:c r="E11" s="28" t="str">
        <x:v>مقارنة بعد التحسين</x:v>
      </x:c>
      <x:c r="F11" s="28" t="str">
        <x:v>لم يُقَس</x:v>
      </x:c>
    </x:row>
    <x:row r="12" ht="43" customHeight="1">
      <x:c r="A12" s="28" t="str">
        <x:v>M07</x:v>
      </x:c>
      <x:c r="B12" s="28" t="str">
        <x:v>Rover recovery use</x:v>
      </x:c>
      <x:c r="C12" s="28" t="str">
        <x:v>عدد</x:v>
      </x:c>
      <x:c r="D12" s="28" t="str">
        <x:v>R presses في المهمة</x:v>
      </x:c>
      <x:c r="E12" s="28" t="str">
        <x:v>ليس صفرًا بالضرورة</x:v>
      </x:c>
      <x:c r="F12" s="28" t="str">
        <x:v>لم يُقَس</x:v>
      </x:c>
    </x:row>
    <x:row r="13" ht="43" customHeight="1">
      <x:c r="A13" s="28" t="str">
        <x:v>M08</x:v>
      </x:c>
      <x:c r="B13" s="28" t="str">
        <x:v>Replay intention</x:v>
      </x:c>
      <x:c r="C13" s="28" t="str">
        <x:v>نسبة</x:v>
      </x:c>
      <x:c r="D13" s="28" t="str">
        <x:v>كم يريدون تجربة طريق آخر</x:v>
      </x:c>
      <x:c r="E13" s="28" t="str">
        <x:v>مؤشر الفضول</x:v>
      </x:c>
      <x:c r="F13" s="28" t="str">
        <x:v>لم يُقَس</x:v>
      </x:c>
    </x:row>
    <x:row r="14" ht="43" customHeight="1">
      <x:c r="A14" s="28" t="str">
        <x:v>M09</x:v>
      </x:c>
      <x:c r="B14" s="28" t="str">
        <x:v>Unassisted completion</x:v>
      </x:c>
      <x:c r="C14" s="28" t="str">
        <x:v>نسبة</x:v>
      </x:c>
      <x:c r="D14" s="28" t="str">
        <x:v>من أكملوا دون مطوّر يتكلم</x:v>
      </x:c>
      <x:c r="E14" s="28" t="str">
        <x:v>≥70% هدف تجريبي</x:v>
      </x:c>
      <x:c r="F14" s="28" t="str">
        <x:v>لم يُقَس</x:v>
      </x:c>
    </x:row>
    <x:row r="15" ht="43" customHeight="1">
      <x:c r="A15" s="28" t="str">
        <x:v>M10</x:v>
      </x:c>
      <x:c r="B15" s="28" t="str">
        <x:v>Save reload success</x:v>
      </x:c>
      <x:c r="C15" s="28" t="str">
        <x:v>نسبة</x:v>
      </x:c>
      <x:c r="D15" s="28" t="str">
        <x:v>حفظ/إغلاق/إعادة فتح</x:v>
      </x:c>
      <x:c r="E15" s="28" t="str">
        <x:v>100% في الاختبار</x:v>
      </x:c>
      <x:c r="F15" s="28" t="str">
        <x:v>لم يُقَس</x:v>
      </x:c>
    </x:row>
    <x:row r="16" ht="43" customHeight="1">
      <x:c r="A16" s="28" t="str">
        <x:v>M11</x:v>
      </x:c>
      <x:c r="B16" s="28" t="str">
        <x:v>Arabic UI errors</x:v>
      </x:c>
      <x:c r="C16" s="28" t="str">
        <x:v>عدد</x:v>
      </x:c>
      <x:c r="D16" s="28" t="str">
        <x:v>أخطاء اتجاه/مصطلحات</x:v>
      </x:c>
      <x:c r="E16" s="28" t="str">
        <x:v>0 حرج</x:v>
      </x:c>
      <x:c r="F16" s="28" t="str">
        <x:v>لم يُقَس</x:v>
      </x:c>
    </x:row>
    <x:row r="17" ht="43" customHeight="1">
      <x:c r="A17" s="28" t="str">
        <x:v>M12</x:v>
      </x:c>
      <x:c r="B17" s="28" t="str">
        <x:v>Scientific claim accuracy</x:v>
      </x:c>
      <x:c r="C17" s="28" t="str">
        <x:v>نسبة</x:v>
      </x:c>
      <x:c r="D17" s="28" t="str">
        <x:v>claims موثقة / claims تاريخية</x:v>
      </x:c>
      <x:c r="E17" s="28" t="str">
        <x:v>100% أساسية</x:v>
      </x:c>
      <x:c r="F17" s="28" t="str">
        <x:v>لم يُقَس</x:v>
      </x:c>
    </x:row>
    <x:row r="18" ht="43" customHeight="1">
      <x:c r="A18" s="28" t="str">
        <x:v>M13</x:v>
      </x:c>
      <x:c r="B18" s="28" t="str">
        <x:v>Critical defect count</x:v>
      </x:c>
      <x:c r="C18" s="28" t="str">
        <x:v>عدد</x:v>
      </x:c>
      <x:c r="D18" s="28" t="str">
        <x:v>عطل يمنع تقدم/حفظ/فتح</x:v>
      </x:c>
      <x:c r="E18" s="28" t="str">
        <x:v>0</x:v>
      </x:c>
      <x:c r="F18" s="28" t="str">
        <x:v>لم يُقَس</x:v>
      </x:c>
    </x:row>
    <x:row r="19" ht="43" customHeight="1">
      <x:c r="A19" s="28" t="str">
        <x:v>M14</x:v>
      </x:c>
      <x:c r="B19" s="28" t="str">
        <x:v>FPS desktop</x:v>
      </x:c>
      <x:c r="C19" s="28" t="str">
        <x:v>fps</x:v>
      </x:c>
      <x:c r="D19" s="28" t="str">
        <x:v>قياس على جهاز اختبار محدد</x:v>
      </x:c>
      <x:c r="E19" s="28" t="str">
        <x:v>30+ قابل للاستعمال</x:v>
      </x:c>
      <x:c r="F19" s="28" t="str">
        <x:v>لم يُقَس</x:v>
      </x:c>
    </x:row>
    <x:row r="20" ht="43" customHeight="1">
      <x:c r="A20" s="28" t="str">
        <x:v>M15</x:v>
      </x:c>
      <x:c r="B20" s="28" t="str">
        <x:v>Offline success</x:v>
      </x:c>
      <x:c r="C20" s="28" t="str">
        <x:v>yes/no</x:v>
      </x:c>
      <x:c r="D20" s="28" t="str">
        <x:v>فتح مباشر دون إنترنت</x:v>
      </x:c>
      <x:c r="E20" s="28" t="str">
        <x:v>نعم</x:v>
      </x:c>
      <x:c r="F20" s="28" t="str">
        <x:v>لم يُقَس</x:v>
      </x:c>
    </x:row>
    <x:row r="21" ht="43" customHeight="1">
      <x:c r="A21" s="28" t="str">
        <x:v>M16</x:v>
      </x:c>
      <x:c r="B21" s="28" t="str">
        <x:v>Navigation confusion</x:v>
      </x:c>
      <x:c r="C21" s="28" t="str">
        <x:v>عدد</x:v>
      </x:c>
      <x:c r="D21" s="28" t="str">
        <x:v>الأسئلة ماذا أفعل الآن؟</x:v>
      </x:c>
      <x:c r="E21" s="28" t="str">
        <x:v>ينخفض بعد UI</x:v>
      </x:c>
      <x:c r="F21" s="28" t="str">
        <x:v>لم يُقَس</x:v>
      </x:c>
    </x:row>
    <x:row r="22" ht="43" customHeight="1">
      <x:c r="A22" s="28" t="str">
        <x:v>M17</x:v>
      </x:c>
      <x:c r="B22" s="28" t="str">
        <x:v>Narrative clarity</x:v>
      </x:c>
      <x:c r="C22" s="28" t="str">
        <x:v>1–5</x:v>
      </x:c>
      <x:c r="D22" s="28" t="str">
        <x:v>هل استطاع تكرار القصة؟</x:v>
      </x:c>
      <x:c r="E22" s="28" t="str">
        <x:v>≥4 هدف</x:v>
      </x:c>
      <x:c r="F22" s="28" t="str">
        <x:v>لم يُقَس</x:v>
      </x:c>
    </x:row>
    <x:row r="23" ht="43" customHeight="1">
      <x:c r="A23" s="28" t="str">
        <x:v>M18</x:v>
      </x:c>
      <x:c r="B23" s="28" t="str">
        <x:v>Historical/sim distinction</x:v>
      </x:c>
      <x:c r="C23" s="28" t="str">
        <x:v>نسبة</x:v>
      </x:c>
      <x:c r="D23" s="28" t="str">
        <x:v>هل يعرف المحاكاة من التاريخ</x:v>
      </x:c>
      <x:c r="E23" s="28" t="str">
        <x:v>≥90% هدف</x:v>
      </x:c>
      <x:c r="F23" s="28" t="str">
        <x:v>لم يُقَس</x:v>
      </x:c>
    </x:row>
    <x:row r="24" ht="43" customHeight="1">
      <x:c r="A24" s="28" t="str">
        <x:v>M19</x:v>
      </x:c>
      <x:c r="B24" s="28" t="str">
        <x:v>Demo time</x:v>
      </x:c>
      <x:c r="C24" s="28" t="str">
        <x:v>دقيقة</x:v>
      </x:c>
      <x:c r="D24" s="28" t="str">
        <x:v>زمن تشغيل ديمو عملي</x:v>
      </x:c>
      <x:c r="E24" s="28" t="str">
        <x:v>≤5m</x:v>
      </x:c>
      <x:c r="F24" s="28" t="str">
        <x:v>لم يُقَس</x:v>
      </x:c>
    </x:row>
    <x:row r="25" ht="43" customHeight="1">
      <x:c r="A25" s="28" t="str">
        <x:v>M20</x:v>
      </x:c>
      <x:c r="B25" s="28" t="str">
        <x:v>Source click-through</x:v>
      </x:c>
      <x:c r="C25" s="28" t="str">
        <x:v>عدد</x:v>
      </x:c>
      <x:c r="D25" s="28" t="str">
        <x:v>فتح صفحات مصدر عند الحاجة</x:v>
      </x:c>
      <x:c r="E25" s="28" t="str">
        <x:v>وصفي</x:v>
      </x:c>
      <x:c r="F25" s="28" t="str">
        <x:v>لم يُقَس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43" hidden="0" customWidth="1"/>
    <x:col min="4" max="4" width="67" hidden="0" customWidth="1"/>
    <x:col min="5" max="5" width="66" hidden="0" customWidth="1"/>
    <x:col min="6" max="6" width="18" hidden="0" customWidth="1"/>
    <x:col min="7" max="7" width="76" hidden="0" customWidth="1"/>
  </x:cols>
  <x:sheetData>
    <x:row r="1" ht="38" customHeight="1">
      <x:c r="A1" s="4" t="str">
        <x:v>خطة اختبار اللاعبين</x:v>
      </x:c>
      <x:c r="B1" s="4"/>
      <x:c r="C1" s="4"/>
      <x:c r="D1" s="4"/>
      <x:c r="E1" s="4"/>
      <x:c r="F1" s="4"/>
      <x:c r="G1" s="4"/>
    </x:row>
    <x:row r="2" ht="29" customHeight="1">
      <x:c r="A2" s="10" t="str">
        <x:v>نموذج بروتوكول تقييم متعة وفهم؛ ليس دليلًا على إجراء اختبارات حالية</x:v>
      </x:c>
      <x:c r="B2" s="10"/>
      <x:c r="C2" s="10"/>
      <x:c r="D2" s="10"/>
      <x:c r="E2" s="10"/>
      <x:c r="F2" s="10"/>
      <x:c r="G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</x:row>
    <x:row r="5" ht="34" customHeight="1">
      <x:c r="A5" s="21" t="str">
        <x:v>ID</x:v>
      </x:c>
      <x:c r="B5" s="21" t="str">
        <x:v>الملف التمثيلي</x:v>
      </x:c>
      <x:c r="C5" s="21" t="str">
        <x:v>المهمة</x:v>
      </x:c>
      <x:c r="D5" s="21" t="str">
        <x:v>المنهج</x:v>
      </x:c>
      <x:c r="E5" s="21" t="str">
        <x:v>السؤال الرئيسي</x:v>
      </x:c>
      <x:c r="F5" s="21" t="str">
        <x:v>الحالة</x:v>
      </x:c>
      <x:c r="G5" s="21" t="str">
        <x:v>الخصوصية</x:v>
      </x:c>
    </x:row>
    <x:row r="6" ht="43" customHeight="1">
      <x:c r="A6" s="28" t="str">
        <x:v>UT01A</x:v>
      </x:c>
      <x:c r="B6" s="28" t="str">
        <x:v>12–13 سنة</x:v>
      </x:c>
      <x:c r="C6" s="28" t="str">
        <x:v>اول 3 دقائق بدون مساعدة</x:v>
      </x:c>
      <x:c r="D6" s="28" t="str">
        <x:v>اختبار بحضور ملاحظ وبموافقة مناسبة للقاصرين</x:v>
      </x:c>
      <x:c r="E6" s="28" t="str">
        <x:v>اسأل ما فهمه دون تلقين</x:v>
      </x:c>
      <x:c r="F6" s="28" t="str">
        <x:v>لم يبدأ</x:v>
      </x:c>
      <x:c r="G6" s="28" t="str">
        <x:v>لا نسجل أسماء أو بيانات غير لازمة</x:v>
      </x:c>
    </x:row>
    <x:row r="7" ht="43" customHeight="1">
      <x:c r="A7" s="28" t="str">
        <x:v>UT01B</x:v>
      </x:c>
      <x:c r="B7" s="28" t="str">
        <x:v>12–13 سنة</x:v>
      </x:c>
      <x:c r="C7" s="28" t="str">
        <x:v>لغز وربط دليل</x:v>
      </x:c>
      <x:c r="D7" s="28" t="str">
        <x:v>اختبار بحضور ملاحظ وبموافقة مناسبة للقاصرين</x:v>
      </x:c>
      <x:c r="E7" s="28" t="str">
        <x:v>اسأل ما فهمه دون تلقين</x:v>
      </x:c>
      <x:c r="F7" s="28" t="str">
        <x:v>لم يبدأ</x:v>
      </x:c>
      <x:c r="G7" s="28" t="str">
        <x:v>لا نسجل أسماء أو بيانات غير لازمة</x:v>
      </x:c>
    </x:row>
    <x:row r="8" ht="43" customHeight="1">
      <x:c r="A8" s="28" t="str">
        <x:v>UT01C</x:v>
      </x:c>
      <x:c r="B8" s="28" t="str">
        <x:v>12–13 سنة</x:v>
      </x:c>
      <x:c r="C8" s="28" t="str">
        <x:v>قيادة 2 دقيقة</x:v>
      </x:c>
      <x:c r="D8" s="28" t="str">
        <x:v>اختبار بحضور ملاحظ وبموافقة مناسبة للقاصرين</x:v>
      </x:c>
      <x:c r="E8" s="28" t="str">
        <x:v>اسأل ما فهمه دون تلقين</x:v>
      </x:c>
      <x:c r="F8" s="28" t="str">
        <x:v>لم يبدأ</x:v>
      </x:c>
      <x:c r="G8" s="28" t="str">
        <x:v>لا نسجل أسماء أو بيانات غير لازمة</x:v>
      </x:c>
    </x:row>
    <x:row r="9" ht="43" customHeight="1">
      <x:c r="A9" s="28" t="str">
        <x:v>UT01D</x:v>
      </x:c>
      <x:c r="B9" s="28" t="str">
        <x:v>12–13 سنة</x:v>
      </x:c>
      <x:c r="C9" s="28" t="str">
        <x:v>سؤال معرفي بعد اللعب</x:v>
      </x:c>
      <x:c r="D9" s="28" t="str">
        <x:v>اختبار بحضور ملاحظ وبموافقة مناسبة للقاصرين</x:v>
      </x:c>
      <x:c r="E9" s="28" t="str">
        <x:v>اسأل ما فهمه دون تلقين</x:v>
      </x:c>
      <x:c r="F9" s="28" t="str">
        <x:v>لم يبدأ</x:v>
      </x:c>
      <x:c r="G9" s="28" t="str">
        <x:v>لا نسجل أسماء أو بيانات غير لازمة</x:v>
      </x:c>
    </x:row>
    <x:row r="10" ht="43" customHeight="1">
      <x:c r="A10" s="28" t="str">
        <x:v>UT02A</x:v>
      </x:c>
      <x:c r="B10" s="28" t="str">
        <x:v>14–15 سنة</x:v>
      </x:c>
      <x:c r="C10" s="28" t="str">
        <x:v>اول 3 دقائق بدون مساعدة</x:v>
      </x:c>
      <x:c r="D10" s="28" t="str">
        <x:v>اختبار بحضور ملاحظ وبموافقة مناسبة للقاصرين</x:v>
      </x:c>
      <x:c r="E10" s="28" t="str">
        <x:v>اسأل ما فهمه دون تلقين</x:v>
      </x:c>
      <x:c r="F10" s="28" t="str">
        <x:v>لم يبدأ</x:v>
      </x:c>
      <x:c r="G10" s="28" t="str">
        <x:v>لا نسجل أسماء أو بيانات غير لازمة</x:v>
      </x:c>
    </x:row>
    <x:row r="11" ht="43" customHeight="1">
      <x:c r="A11" s="28" t="str">
        <x:v>UT02B</x:v>
      </x:c>
      <x:c r="B11" s="28" t="str">
        <x:v>14–15 سنة</x:v>
      </x:c>
      <x:c r="C11" s="28" t="str">
        <x:v>لغز وربط دليل</x:v>
      </x:c>
      <x:c r="D11" s="28" t="str">
        <x:v>اختبار بحضور ملاحظ وبموافقة مناسبة للقاصرين</x:v>
      </x:c>
      <x:c r="E11" s="28" t="str">
        <x:v>اسأل ما فهمه دون تلقين</x:v>
      </x:c>
      <x:c r="F11" s="28" t="str">
        <x:v>لم يبدأ</x:v>
      </x:c>
      <x:c r="G11" s="28" t="str">
        <x:v>لا نسجل أسماء أو بيانات غير لازمة</x:v>
      </x:c>
    </x:row>
    <x:row r="12" ht="43" customHeight="1">
      <x:c r="A12" s="28" t="str">
        <x:v>UT02C</x:v>
      </x:c>
      <x:c r="B12" s="28" t="str">
        <x:v>14–15 سنة</x:v>
      </x:c>
      <x:c r="C12" s="28" t="str">
        <x:v>قيادة 2 دقيقة</x:v>
      </x:c>
      <x:c r="D12" s="28" t="str">
        <x:v>اختبار بحضور ملاحظ وبموافقة مناسبة للقاصرين</x:v>
      </x:c>
      <x:c r="E12" s="28" t="str">
        <x:v>اسأل ما فهمه دون تلقين</x:v>
      </x:c>
      <x:c r="F12" s="28" t="str">
        <x:v>لم يبدأ</x:v>
      </x:c>
      <x:c r="G12" s="28" t="str">
        <x:v>لا نسجل أسماء أو بيانات غير لازمة</x:v>
      </x:c>
    </x:row>
    <x:row r="13" ht="43" customHeight="1">
      <x:c r="A13" s="28" t="str">
        <x:v>UT02D</x:v>
      </x:c>
      <x:c r="B13" s="28" t="str">
        <x:v>14–15 سنة</x:v>
      </x:c>
      <x:c r="C13" s="28" t="str">
        <x:v>سؤال معرفي بعد اللعب</x:v>
      </x:c>
      <x:c r="D13" s="28" t="str">
        <x:v>اختبار بحضور ملاحظ وبموافقة مناسبة للقاصرين</x:v>
      </x:c>
      <x:c r="E13" s="28" t="str">
        <x:v>اسأل ما فهمه دون تلقين</x:v>
      </x:c>
      <x:c r="F13" s="28" t="str">
        <x:v>لم يبدأ</x:v>
      </x:c>
      <x:c r="G13" s="28" t="str">
        <x:v>لا نسجل أسماء أو بيانات غير لازمة</x:v>
      </x:c>
    </x:row>
    <x:row r="14" ht="43" customHeight="1">
      <x:c r="A14" s="28" t="str">
        <x:v>UT03A</x:v>
      </x:c>
      <x:c r="B14" s="28" t="str">
        <x:v>16–18 سنة</x:v>
      </x:c>
      <x:c r="C14" s="28" t="str">
        <x:v>اول 3 دقائق بدون مساعدة</x:v>
      </x:c>
      <x:c r="D14" s="28" t="str">
        <x:v>اختبار بحضور ملاحظ وبموافقة مناسبة للقاصرين</x:v>
      </x:c>
      <x:c r="E14" s="28" t="str">
        <x:v>اسأل ما فهمه دون تلقين</x:v>
      </x:c>
      <x:c r="F14" s="28" t="str">
        <x:v>لم يبدأ</x:v>
      </x:c>
      <x:c r="G14" s="28" t="str">
        <x:v>لا نسجل أسماء أو بيانات غير لازمة</x:v>
      </x:c>
    </x:row>
    <x:row r="15" ht="43" customHeight="1">
      <x:c r="A15" s="28" t="str">
        <x:v>UT03B</x:v>
      </x:c>
      <x:c r="B15" s="28" t="str">
        <x:v>16–18 سنة</x:v>
      </x:c>
      <x:c r="C15" s="28" t="str">
        <x:v>لغز وربط دليل</x:v>
      </x:c>
      <x:c r="D15" s="28" t="str">
        <x:v>اختبار بحضور ملاحظ وبموافقة مناسبة للقاصرين</x:v>
      </x:c>
      <x:c r="E15" s="28" t="str">
        <x:v>اسأل ما فهمه دون تلقين</x:v>
      </x:c>
      <x:c r="F15" s="28" t="str">
        <x:v>لم يبدأ</x:v>
      </x:c>
      <x:c r="G15" s="28" t="str">
        <x:v>لا نسجل أسماء أو بيانات غير لازمة</x:v>
      </x:c>
    </x:row>
    <x:row r="16" ht="43" customHeight="1">
      <x:c r="A16" s="28" t="str">
        <x:v>UT03C</x:v>
      </x:c>
      <x:c r="B16" s="28" t="str">
        <x:v>16–18 سنة</x:v>
      </x:c>
      <x:c r="C16" s="28" t="str">
        <x:v>قيادة 2 دقيقة</x:v>
      </x:c>
      <x:c r="D16" s="28" t="str">
        <x:v>اختبار بحضور ملاحظ وبموافقة مناسبة للقاصرين</x:v>
      </x:c>
      <x:c r="E16" s="28" t="str">
        <x:v>اسأل ما فهمه دون تلقين</x:v>
      </x:c>
      <x:c r="F16" s="28" t="str">
        <x:v>لم يبدأ</x:v>
      </x:c>
      <x:c r="G16" s="28" t="str">
        <x:v>لا نسجل أسماء أو بيانات غير لازمة</x:v>
      </x:c>
    </x:row>
    <x:row r="17" ht="43" customHeight="1">
      <x:c r="A17" s="28" t="str">
        <x:v>UT03D</x:v>
      </x:c>
      <x:c r="B17" s="28" t="str">
        <x:v>16–18 سنة</x:v>
      </x:c>
      <x:c r="C17" s="28" t="str">
        <x:v>سؤال معرفي بعد اللعب</x:v>
      </x:c>
      <x:c r="D17" s="28" t="str">
        <x:v>اختبار بحضور ملاحظ وبموافقة مناسبة للقاصرين</x:v>
      </x:c>
      <x:c r="E17" s="28" t="str">
        <x:v>اسأل ما فهمه دون تلقين</x:v>
      </x:c>
      <x:c r="F17" s="28" t="str">
        <x:v>لم يبدأ</x:v>
      </x:c>
      <x:c r="G17" s="28" t="str">
        <x:v>لا نسجل أسماء أو بيانات غير لازمة</x:v>
      </x:c>
    </x:row>
    <x:row r="18" ht="43" customHeight="1">
      <x:c r="A18" s="28" t="str">
        <x:v>UT04A</x:v>
      </x:c>
      <x:c r="B18" s="28" t="str">
        <x:v>معلم علوم</x:v>
      </x:c>
      <x:c r="C18" s="28" t="str">
        <x:v>اول 3 دقائق بدون مساعدة</x:v>
      </x:c>
      <x:c r="D18" s="28" t="str">
        <x:v>اختبار بحضور ملاحظ وبموافقة مناسبة للقاصرين</x:v>
      </x:c>
      <x:c r="E18" s="28" t="str">
        <x:v>اسأل ما فهمه دون تلقين</x:v>
      </x:c>
      <x:c r="F18" s="28" t="str">
        <x:v>لم يبدأ</x:v>
      </x:c>
      <x:c r="G18" s="28" t="str">
        <x:v>لا نسجل أسماء أو بيانات غير لازمة</x:v>
      </x:c>
    </x:row>
    <x:row r="19" ht="43" customHeight="1">
      <x:c r="A19" s="28" t="str">
        <x:v>UT04B</x:v>
      </x:c>
      <x:c r="B19" s="28" t="str">
        <x:v>معلم علوم</x:v>
      </x:c>
      <x:c r="C19" s="28" t="str">
        <x:v>لغز وربط دليل</x:v>
      </x:c>
      <x:c r="D19" s="28" t="str">
        <x:v>اختبار بحضور ملاحظ وبموافقة مناسبة للقاصرين</x:v>
      </x:c>
      <x:c r="E19" s="28" t="str">
        <x:v>اسأل ما فهمه دون تلقين</x:v>
      </x:c>
      <x:c r="F19" s="28" t="str">
        <x:v>لم يبدأ</x:v>
      </x:c>
      <x:c r="G19" s="28" t="str">
        <x:v>لا نسجل أسماء أو بيانات غير لازمة</x:v>
      </x:c>
    </x:row>
    <x:row r="20" ht="43" customHeight="1">
      <x:c r="A20" s="28" t="str">
        <x:v>UT04C</x:v>
      </x:c>
      <x:c r="B20" s="28" t="str">
        <x:v>معلم علوم</x:v>
      </x:c>
      <x:c r="C20" s="28" t="str">
        <x:v>قيادة 2 دقيقة</x:v>
      </x:c>
      <x:c r="D20" s="28" t="str">
        <x:v>اختبار بحضور ملاحظ وبموافقة مناسبة للقاصرين</x:v>
      </x:c>
      <x:c r="E20" s="28" t="str">
        <x:v>اسأل ما فهمه دون تلقين</x:v>
      </x:c>
      <x:c r="F20" s="28" t="str">
        <x:v>لم يبدأ</x:v>
      </x:c>
      <x:c r="G20" s="28" t="str">
        <x:v>لا نسجل أسماء أو بيانات غير لازمة</x:v>
      </x:c>
    </x:row>
    <x:row r="21" ht="43" customHeight="1">
      <x:c r="A21" s="28" t="str">
        <x:v>UT04D</x:v>
      </x:c>
      <x:c r="B21" s="28" t="str">
        <x:v>معلم علوم</x:v>
      </x:c>
      <x:c r="C21" s="28" t="str">
        <x:v>سؤال معرفي بعد اللعب</x:v>
      </x:c>
      <x:c r="D21" s="28" t="str">
        <x:v>اختبار بحضور ملاحظ وبموافقة مناسبة للقاصرين</x:v>
      </x:c>
      <x:c r="E21" s="28" t="str">
        <x:v>اسأل ما فهمه دون تلقين</x:v>
      </x:c>
      <x:c r="F21" s="28" t="str">
        <x:v>لم يبدأ</x:v>
      </x:c>
      <x:c r="G21" s="28" t="str">
        <x:v>لا نسجل أسماء أو بيانات غير لازمة</x:v>
      </x:c>
    </x:row>
    <x:row r="22" ht="43" customHeight="1">
      <x:c r="A22" s="28" t="str">
        <x:v>UT05A</x:v>
      </x:c>
      <x:c r="B22" s="28" t="str">
        <x:v>شخص لا يلعب عادة</x:v>
      </x:c>
      <x:c r="C22" s="28" t="str">
        <x:v>اول 3 دقائق بدون مساعدة</x:v>
      </x:c>
      <x:c r="D22" s="28" t="str">
        <x:v>اختبار بحضور ملاحظ وبموافقة مناسبة للقاصرين</x:v>
      </x:c>
      <x:c r="E22" s="28" t="str">
        <x:v>اسأل ما فهمه دون تلقين</x:v>
      </x:c>
      <x:c r="F22" s="28" t="str">
        <x:v>لم يبدأ</x:v>
      </x:c>
      <x:c r="G22" s="28" t="str">
        <x:v>لا نسجل أسماء أو بيانات غير لازمة</x:v>
      </x:c>
    </x:row>
    <x:row r="23" ht="43" customHeight="1">
      <x:c r="A23" s="28" t="str">
        <x:v>UT05B</x:v>
      </x:c>
      <x:c r="B23" s="28" t="str">
        <x:v>شخص لا يلعب عادة</x:v>
      </x:c>
      <x:c r="C23" s="28" t="str">
        <x:v>لغز وربط دليل</x:v>
      </x:c>
      <x:c r="D23" s="28" t="str">
        <x:v>اختبار بحضور ملاحظ وبموافقة مناسبة للقاصرين</x:v>
      </x:c>
      <x:c r="E23" s="28" t="str">
        <x:v>اسأل ما فهمه دون تلقين</x:v>
      </x:c>
      <x:c r="F23" s="28" t="str">
        <x:v>لم يبدأ</x:v>
      </x:c>
      <x:c r="G23" s="28" t="str">
        <x:v>لا نسجل أسماء أو بيانات غير لازمة</x:v>
      </x:c>
    </x:row>
    <x:row r="24" ht="43" customHeight="1">
      <x:c r="A24" s="28" t="str">
        <x:v>UT05C</x:v>
      </x:c>
      <x:c r="B24" s="28" t="str">
        <x:v>شخص لا يلعب عادة</x:v>
      </x:c>
      <x:c r="C24" s="28" t="str">
        <x:v>قيادة 2 دقيقة</x:v>
      </x:c>
      <x:c r="D24" s="28" t="str">
        <x:v>اختبار بحضور ملاحظ وبموافقة مناسبة للقاصرين</x:v>
      </x:c>
      <x:c r="E24" s="28" t="str">
        <x:v>اسأل ما فهمه دون تلقين</x:v>
      </x:c>
      <x:c r="F24" s="28" t="str">
        <x:v>لم يبدأ</x:v>
      </x:c>
      <x:c r="G24" s="28" t="str">
        <x:v>لا نسجل أسماء أو بيانات غير لازمة</x:v>
      </x:c>
    </x:row>
    <x:row r="25" ht="43" customHeight="1">
      <x:c r="A25" s="28" t="str">
        <x:v>UT05D</x:v>
      </x:c>
      <x:c r="B25" s="28" t="str">
        <x:v>شخص لا يلعب عادة</x:v>
      </x:c>
      <x:c r="C25" s="28" t="str">
        <x:v>سؤال معرفي بعد اللعب</x:v>
      </x:c>
      <x:c r="D25" s="28" t="str">
        <x:v>اختبار بحضور ملاحظ وبموافقة مناسبة للقاصرين</x:v>
      </x:c>
      <x:c r="E25" s="28" t="str">
        <x:v>اسأل ما فهمه دون تلقين</x:v>
      </x:c>
      <x:c r="F25" s="28" t="str">
        <x:v>لم يبدأ</x:v>
      </x:c>
      <x:c r="G25" s="28" t="str">
        <x:v>لا نسجل أسماء أو بيانات غير لازمة</x:v>
      </x:c>
    </x:row>
    <x:row r="26" ht="43" customHeight="1">
      <x:c r="A26" s="28" t="str">
        <x:v>UT06A</x:v>
      </x:c>
      <x:c r="B26" s="28" t="str">
        <x:v>لاعب يحب المغامرات</x:v>
      </x:c>
      <x:c r="C26" s="28" t="str">
        <x:v>اول 3 دقائق بدون مساعدة</x:v>
      </x:c>
      <x:c r="D26" s="28" t="str">
        <x:v>اختبار بحضور ملاحظ وبموافقة مناسبة للقاصرين</x:v>
      </x:c>
      <x:c r="E26" s="28" t="str">
        <x:v>اسأل ما فهمه دون تلقين</x:v>
      </x:c>
      <x:c r="F26" s="28" t="str">
        <x:v>لم يبدأ</x:v>
      </x:c>
      <x:c r="G26" s="28" t="str">
        <x:v>لا نسجل أسماء أو بيانات غير لازمة</x:v>
      </x:c>
    </x:row>
    <x:row r="27" ht="43" customHeight="1">
      <x:c r="A27" s="28" t="str">
        <x:v>UT06B</x:v>
      </x:c>
      <x:c r="B27" s="28" t="str">
        <x:v>لاعب يحب المغامرات</x:v>
      </x:c>
      <x:c r="C27" s="28" t="str">
        <x:v>لغز وربط دليل</x:v>
      </x:c>
      <x:c r="D27" s="28" t="str">
        <x:v>اختبار بحضور ملاحظ وبموافقة مناسبة للقاصرين</x:v>
      </x:c>
      <x:c r="E27" s="28" t="str">
        <x:v>اسأل ما فهمه دون تلقين</x:v>
      </x:c>
      <x:c r="F27" s="28" t="str">
        <x:v>لم يبدأ</x:v>
      </x:c>
      <x:c r="G27" s="28" t="str">
        <x:v>لا نسجل أسماء أو بيانات غير لازمة</x:v>
      </x:c>
    </x:row>
    <x:row r="28" ht="43" customHeight="1">
      <x:c r="A28" s="28" t="str">
        <x:v>UT06C</x:v>
      </x:c>
      <x:c r="B28" s="28" t="str">
        <x:v>لاعب يحب المغامرات</x:v>
      </x:c>
      <x:c r="C28" s="28" t="str">
        <x:v>قيادة 2 دقيقة</x:v>
      </x:c>
      <x:c r="D28" s="28" t="str">
        <x:v>اختبار بحضور ملاحظ وبموافقة مناسبة للقاصرين</x:v>
      </x:c>
      <x:c r="E28" s="28" t="str">
        <x:v>اسأل ما فهمه دون تلقين</x:v>
      </x:c>
      <x:c r="F28" s="28" t="str">
        <x:v>لم يبدأ</x:v>
      </x:c>
      <x:c r="G28" s="28" t="str">
        <x:v>لا نسجل أسماء أو بيانات غير لازمة</x:v>
      </x:c>
    </x:row>
    <x:row r="29" ht="43" customHeight="1">
      <x:c r="A29" s="28" t="str">
        <x:v>UT06D</x:v>
      </x:c>
      <x:c r="B29" s="28" t="str">
        <x:v>لاعب يحب المغامرات</x:v>
      </x:c>
      <x:c r="C29" s="28" t="str">
        <x:v>سؤال معرفي بعد اللعب</x:v>
      </x:c>
      <x:c r="D29" s="28" t="str">
        <x:v>اختبار بحضور ملاحظ وبموافقة مناسبة للقاصرين</x:v>
      </x:c>
      <x:c r="E29" s="28" t="str">
        <x:v>اسأل ما فهمه دون تلقين</x:v>
      </x:c>
      <x:c r="F29" s="28" t="str">
        <x:v>لم يبدأ</x:v>
      </x:c>
      <x:c r="G29" s="28" t="str">
        <x:v>لا نسجل أسماء أو بيانات غير لازمة</x:v>
      </x:c>
    </x:row>
    <x:row r="30" ht="43" customHeight="1">
      <x:c r="A30" s="28" t="str">
        <x:v>UT07A</x:v>
      </x:c>
      <x:c r="B30" s="28" t="str">
        <x:v>قارئ عربي فقط</x:v>
      </x:c>
      <x:c r="C30" s="28" t="str">
        <x:v>اول 3 دقائق بدون مساعدة</x:v>
      </x:c>
      <x:c r="D30" s="28" t="str">
        <x:v>اختبار بحضور ملاحظ وبموافقة مناسبة للقاصرين</x:v>
      </x:c>
      <x:c r="E30" s="28" t="str">
        <x:v>اسأل ما فهمه دون تلقين</x:v>
      </x:c>
      <x:c r="F30" s="28" t="str">
        <x:v>لم يبدأ</x:v>
      </x:c>
      <x:c r="G30" s="28" t="str">
        <x:v>لا نسجل أسماء أو بيانات غير لازمة</x:v>
      </x:c>
    </x:row>
    <x:row r="31" ht="43" customHeight="1">
      <x:c r="A31" s="28" t="str">
        <x:v>UT07B</x:v>
      </x:c>
      <x:c r="B31" s="28" t="str">
        <x:v>قارئ عربي فقط</x:v>
      </x:c>
      <x:c r="C31" s="28" t="str">
        <x:v>لغز وربط دليل</x:v>
      </x:c>
      <x:c r="D31" s="28" t="str">
        <x:v>اختبار بحضور ملاحظ وبموافقة مناسبة للقاصرين</x:v>
      </x:c>
      <x:c r="E31" s="28" t="str">
        <x:v>اسأل ما فهمه دون تلقين</x:v>
      </x:c>
      <x:c r="F31" s="28" t="str">
        <x:v>لم يبدأ</x:v>
      </x:c>
      <x:c r="G31" s="28" t="str">
        <x:v>لا نسجل أسماء أو بيانات غير لازمة</x:v>
      </x:c>
    </x:row>
    <x:row r="32" ht="43" customHeight="1">
      <x:c r="A32" s="28" t="str">
        <x:v>UT07C</x:v>
      </x:c>
      <x:c r="B32" s="28" t="str">
        <x:v>قارئ عربي فقط</x:v>
      </x:c>
      <x:c r="C32" s="28" t="str">
        <x:v>قيادة 2 دقيقة</x:v>
      </x:c>
      <x:c r="D32" s="28" t="str">
        <x:v>اختبار بحضور ملاحظ وبموافقة مناسبة للقاصرين</x:v>
      </x:c>
      <x:c r="E32" s="28" t="str">
        <x:v>اسأل ما فهمه دون تلقين</x:v>
      </x:c>
      <x:c r="F32" s="28" t="str">
        <x:v>لم يبدأ</x:v>
      </x:c>
      <x:c r="G32" s="28" t="str">
        <x:v>لا نسجل أسماء أو بيانات غير لازمة</x:v>
      </x:c>
    </x:row>
    <x:row r="33" ht="43" customHeight="1">
      <x:c r="A33" s="28" t="str">
        <x:v>UT07D</x:v>
      </x:c>
      <x:c r="B33" s="28" t="str">
        <x:v>قارئ عربي فقط</x:v>
      </x:c>
      <x:c r="C33" s="28" t="str">
        <x:v>سؤال معرفي بعد اللعب</x:v>
      </x:c>
      <x:c r="D33" s="28" t="str">
        <x:v>اختبار بحضور ملاحظ وبموافقة مناسبة للقاصرين</x:v>
      </x:c>
      <x:c r="E33" s="28" t="str">
        <x:v>اسأل ما فهمه دون تلقين</x:v>
      </x:c>
      <x:c r="F33" s="28" t="str">
        <x:v>لم يبدأ</x:v>
      </x:c>
      <x:c r="G33" s="28" t="str">
        <x:v>لا نسجل أسماء أو بيانات غير لازمة</x:v>
      </x:c>
    </x:row>
    <x:row r="34" ht="43" customHeight="1">
      <x:c r="A34" s="28" t="str">
        <x:v>UT08A</x:v>
      </x:c>
      <x:c r="B34" s="28" t="str">
        <x:v>قارئ إنجليزي فقط</x:v>
      </x:c>
      <x:c r="C34" s="28" t="str">
        <x:v>اول 3 دقائق بدون مساعدة</x:v>
      </x:c>
      <x:c r="D34" s="28" t="str">
        <x:v>اختبار بحضور ملاحظ وبموافقة مناسبة للقاصرين</x:v>
      </x:c>
      <x:c r="E34" s="28" t="str">
        <x:v>اسأل ما فهمه دون تلقين</x:v>
      </x:c>
      <x:c r="F34" s="28" t="str">
        <x:v>لم يبدأ</x:v>
      </x:c>
      <x:c r="G34" s="28" t="str">
        <x:v>لا نسجل أسماء أو بيانات غير لازمة</x:v>
      </x:c>
    </x:row>
    <x:row r="35" ht="43" customHeight="1">
      <x:c r="A35" s="28" t="str">
        <x:v>UT08B</x:v>
      </x:c>
      <x:c r="B35" s="28" t="str">
        <x:v>قارئ إنجليزي فقط</x:v>
      </x:c>
      <x:c r="C35" s="28" t="str">
        <x:v>لغز وربط دليل</x:v>
      </x:c>
      <x:c r="D35" s="28" t="str">
        <x:v>اختبار بحضور ملاحظ وبموافقة مناسبة للقاصرين</x:v>
      </x:c>
      <x:c r="E35" s="28" t="str">
        <x:v>اسأل ما فهمه دون تلقين</x:v>
      </x:c>
      <x:c r="F35" s="28" t="str">
        <x:v>لم يبدأ</x:v>
      </x:c>
      <x:c r="G35" s="28" t="str">
        <x:v>لا نسجل أسماء أو بيانات غير لازمة</x:v>
      </x:c>
    </x:row>
    <x:row r="36" ht="43" customHeight="1">
      <x:c r="A36" s="28" t="str">
        <x:v>UT08C</x:v>
      </x:c>
      <x:c r="B36" s="28" t="str">
        <x:v>قارئ إنجليزي فقط</x:v>
      </x:c>
      <x:c r="C36" s="28" t="str">
        <x:v>قيادة 2 دقيقة</x:v>
      </x:c>
      <x:c r="D36" s="28" t="str">
        <x:v>اختبار بحضور ملاحظ وبموافقة مناسبة للقاصرين</x:v>
      </x:c>
      <x:c r="E36" s="28" t="str">
        <x:v>اسأل ما فهمه دون تلقين</x:v>
      </x:c>
      <x:c r="F36" s="28" t="str">
        <x:v>لم يبدأ</x:v>
      </x:c>
      <x:c r="G36" s="28" t="str">
        <x:v>لا نسجل أسماء أو بيانات غير لازمة</x:v>
      </x:c>
    </x:row>
    <x:row r="37" ht="43" customHeight="1">
      <x:c r="A37" s="28" t="str">
        <x:v>UT08D</x:v>
      </x:c>
      <x:c r="B37" s="28" t="str">
        <x:v>قارئ إنجليزي فقط</x:v>
      </x:c>
      <x:c r="C37" s="28" t="str">
        <x:v>سؤال معرفي بعد اللعب</x:v>
      </x:c>
      <x:c r="D37" s="28" t="str">
        <x:v>اختبار بحضور ملاحظ وبموافقة مناسبة للقاصرين</x:v>
      </x:c>
      <x:c r="E37" s="28" t="str">
        <x:v>اسأل ما فهمه دون تلقين</x:v>
      </x:c>
      <x:c r="F37" s="28" t="str">
        <x:v>لم يبدأ</x:v>
      </x:c>
      <x:c r="G37" s="28" t="str">
        <x:v>لا نسجل أسماء أو بيانات غير لازمة</x:v>
      </x:c>
    </x:row>
  </x:sheetData>
  <x:mergeCells>
    <x:mergeCell ref="A1:G1"/>
    <x:mergeCell ref="A2:G2"/>
    <x:mergeCell ref="A3:G3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40" hidden="0" customWidth="1"/>
    <x:col min="3" max="3" width="34" hidden="0" customWidth="1"/>
    <x:col min="4" max="4" width="24" hidden="0" customWidth="1"/>
    <x:col min="5" max="5" width="47" hidden="0" customWidth="1"/>
    <x:col min="6" max="6" width="66" hidden="0" customWidth="1"/>
  </x:cols>
  <x:sheetData>
    <x:row r="1" ht="38" customHeight="1">
      <x:c r="A1" s="4" t="str">
        <x:v>خارطة المستقبل</x:v>
      </x:c>
      <x:c r="B1" s="4"/>
      <x:c r="C1" s="4"/>
      <x:c r="D1" s="4"/>
      <x:c r="E1" s="4"/>
      <x:c r="F1" s="4"/>
    </x:row>
    <x:row r="2" ht="29" customHeight="1">
      <x:c r="A2" s="10" t="str">
        <x:v>خطة تطوير متعددة الآفاق؛ 2026 = نموذج قانوني ومقنع لا لعبة AAA زائفة</x:v>
      </x:c>
      <x:c r="B2" s="10"/>
      <x:c r="C2" s="10"/>
      <x:c r="D2" s="10"/>
      <x:c r="E2" s="10"/>
      <x:c r="F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</x:row>
    <x:row r="5" ht="34" customHeight="1">
      <x:c r="A5" s="21" t="str">
        <x:v>المرحلة</x:v>
      </x:c>
      <x:c r="B5" s="21" t="str">
        <x:v>الوقت</x:v>
      </x:c>
      <x:c r="C5" s="21" t="str">
        <x:v>النشاط</x:v>
      </x:c>
      <x:c r="D5" s="21" t="str">
        <x:v>الوضع</x:v>
      </x:c>
      <x:c r="E5" s="21" t="str">
        <x:v>مخرجات قابلة للقياس</x:v>
      </x:c>
      <x:c r="F5" s="21" t="str">
        <x:v>قيد</x:v>
      </x:c>
    </x:row>
    <x:row r="6" ht="43" customHeight="1">
      <x:c r="A6" s="28" t="str">
        <x:v>P1</x:v>
      </x:c>
      <x:c r="B6" s="28" t="str">
        <x:v>قبل الحدث حسب قواعد السماح</x:v>
      </x:c>
      <x:c r="C6" s="28" t="str">
        <x:v>تحقق أهلية</x:v>
      </x:c>
      <x:c r="D6" s="28" t="str">
        <x:v>أولوية قصوى</x:v>
      </x:c>
      <x:c r="E6" s="28" t="str">
        <x:v>رد المنظم</x:v>
      </x:c>
      <x:c r="F6" s="28" t="str">
        <x:v>لا تطوير مخالف</x:v>
      </x:c>
    </x:row>
    <x:row r="7" ht="43" customHeight="1">
      <x:c r="A7" s="28" t="str">
        <x:v>P1</x:v>
      </x:c>
      <x:c r="B7" s="28" t="str">
        <x:v>قبل الحدث حسب قواعد السماح</x:v>
      </x:c>
      <x:c r="C7" s="28" t="str">
        <x:v>مراجع NASA</x:v>
      </x:c>
      <x:c r="D7" s="28" t="str">
        <x:v>تحضير</x:v>
      </x:c>
      <x:c r="E7" s="28" t="str">
        <x:v>مصادر منظمة</x:v>
      </x:c>
      <x:c r="F7" s="28" t="str">
        <x:v>لا ادعاءات دون دليل</x:v>
      </x:c>
    </x:row>
    <x:row r="8" ht="43" customHeight="1">
      <x:c r="A8" s="28" t="str">
        <x:v>P1</x:v>
      </x:c>
      <x:c r="B8" s="28" t="str">
        <x:v>بداية 14 نوفمبر</x:v>
      </x:c>
      <x:c r="C8" s="28" t="str">
        <x:v>كود مسموح خلال الهاكاثون</x:v>
      </x:c>
      <x:c r="D8" s="28" t="str">
        <x:v>أولوية قصوى</x:v>
      </x:c>
      <x:c r="E8" s="28" t="str">
        <x:v>build متوافق</x:v>
      </x:c>
      <x:c r="F8" s="28" t="str">
        <x:v>وثّق تاريخ المصدر</x:v>
      </x:c>
    </x:row>
    <x:row r="9" ht="43" customHeight="1">
      <x:c r="A9" s="28" t="str">
        <x:v>P1</x:v>
      </x:c>
      <x:c r="B9" s="28" t="str">
        <x:v>14 نوفمبر</x:v>
      </x:c>
      <x:c r="C9" s="28" t="str">
        <x:v>حلقة لعب أساسية</x:v>
      </x:c>
      <x:c r="D9" s="28" t="str">
        <x:v>أولوية قصوى</x:v>
      </x:c>
      <x:c r="E9" s="28" t="str">
        <x:v>Apollo يمكن إكماله</x:v>
      </x:c>
      <x:c r="F9" s="28" t="str">
        <x:v>لا إضافة فصل ثالث</x:v>
      </x:c>
    </x:row>
    <x:row r="10" ht="43" customHeight="1">
      <x:c r="A10" s="28" t="str">
        <x:v>P1</x:v>
      </x:c>
      <x:c r="B10" s="28" t="str">
        <x:v>14 نوفمبر</x:v>
      </x:c>
      <x:c r="C10" s="28" t="str">
        <x:v>جميع الألغاز الأساسية</x:v>
      </x:c>
      <x:c r="D10" s="28" t="str">
        <x:v>أولوية قصوى</x:v>
      </x:c>
      <x:c r="E10" s="28" t="str">
        <x:v>PZ1–9</x:v>
      </x:c>
      <x:c r="F10" s="28" t="str">
        <x:v>تجنب softlocks</x:v>
      </x:c>
    </x:row>
    <x:row r="11" ht="43" customHeight="1">
      <x:c r="A11" s="28" t="str">
        <x:v>P1</x:v>
      </x:c>
      <x:c r="B11" s="28" t="str">
        <x:v>15 نوفمبر صباحًا</x:v>
      </x:c>
      <x:c r="C11" s="28" t="str">
        <x:v>اختبار وظائف</x:v>
      </x:c>
      <x:c r="D11" s="28" t="str">
        <x:v>أولوية قصوى</x:v>
      </x:c>
      <x:c r="E11" s="28" t="str">
        <x:v>0 عطل حرج</x:v>
      </x:c>
      <x:c r="F11" s="28" t="str">
        <x:v>إصلاح فقط</x:v>
      </x:c>
    </x:row>
    <x:row r="12" ht="43" customHeight="1">
      <x:c r="A12" s="28" t="str">
        <x:v>P1</x:v>
      </x:c>
      <x:c r="B12" s="28" t="str">
        <x:v>15 نوفمبر نهارًا</x:v>
      </x:c>
      <x:c r="C12" s="28" t="str">
        <x:v>فيديو/عرض</x:v>
      </x:c>
      <x:c r="D12" s="28" t="str">
        <x:v>أولوية قصوى</x:v>
      </x:c>
      <x:c r="E12" s="28" t="str">
        <x:v>ديمو حقيقي</x:v>
      </x:c>
      <x:c r="F12" s="28" t="str">
        <x:v>لا خداع</x:v>
      </x:c>
    </x:row>
    <x:row r="13" ht="43" customHeight="1">
      <x:c r="A13" s="28" t="str">
        <x:v>P1</x:v>
      </x:c>
      <x:c r="B13" s="28" t="str">
        <x:v>15 نوفمبر قبل الموعد</x:v>
      </x:c>
      <x:c r="C13" s="28" t="str">
        <x:v>صفحة مشروع</x:v>
      </x:c>
      <x:c r="D13" s="28" t="str">
        <x:v>أولوية قصوى</x:v>
      </x:c>
      <x:c r="E13" s="28" t="str">
        <x:v>Confirmation</x:v>
      </x:c>
      <x:c r="F13" s="28" t="str">
        <x:v>احتياط ساعتين</x:v>
      </x:c>
    </x:row>
    <x:row r="14" ht="43" customHeight="1">
      <x:c r="A14" s="28" t="str">
        <x:v>P2</x:v>
      </x:c>
      <x:c r="B14" s="28" t="str">
        <x:v>بعد التسليم</x:v>
      </x:c>
      <x:c r="C14" s="28" t="str">
        <x:v>تحسين الرسومات</x:v>
      </x:c>
      <x:c r="D14" s="28" t="str">
        <x:v>اختياري</x:v>
      </x:c>
      <x:c r="E14" s="28" t="str">
        <x:v>تجربة أنضج</x:v>
      </x:c>
      <x:c r="F14" s="28" t="str">
        <x:v>لا توسع بلا اختبار</x:v>
      </x:c>
    </x:row>
    <x:row r="15" ht="43" customHeight="1">
      <x:c r="A15" s="28" t="str">
        <x:v>P2</x:v>
      </x:c>
      <x:c r="B15" s="28" t="str">
        <x:v>بعد التسليم</x:v>
      </x:c>
      <x:c r="C15" s="28" t="str">
        <x:v>InSight</x:v>
      </x:c>
      <x:c r="D15" s="28" t="str">
        <x:v>مخطط</x:v>
      </x:c>
      <x:c r="E15" s="28" t="str">
        <x:v>فصل جديد</x:v>
      </x:c>
      <x:c r="F15" s="28" t="str">
        <x:v>نتائج مصادر</x:v>
      </x:c>
    </x:row>
    <x:row r="16" ht="43" customHeight="1">
      <x:c r="A16" s="28" t="str">
        <x:v>P2</x:v>
      </x:c>
      <x:c r="B16" s="28" t="str">
        <x:v>بعد التسليم</x:v>
      </x:c>
      <x:c r="C16" s="28" t="str">
        <x:v>تجارب مدارس</x:v>
      </x:c>
      <x:c r="D16" s="28" t="str">
        <x:v>مخطط</x:v>
      </x:c>
      <x:c r="E16" s="28" t="str">
        <x:v>دليل أثر</x:v>
      </x:c>
      <x:c r="F16" s="28" t="str">
        <x:v>تصاريح لازمة</x:v>
      </x:c>
    </x:row>
    <x:row r="17" ht="43" customHeight="1">
      <x:c r="A17" s="28" t="str">
        <x:v>P3</x:v>
      </x:c>
      <x:c r="B17" s="28" t="str">
        <x:v>منتج موسع</x:v>
      </x:c>
      <x:c r="C17" s="28" t="str">
        <x:v>3D full</x:v>
      </x:c>
      <x:c r="D17" s="28" t="str">
        <x:v>مخطط</x:v>
      </x:c>
      <x:c r="E17" s="28" t="str">
        <x:v>محتوى بصري أفضل</x:v>
      </x:c>
      <x:c r="F17" s="28" t="str">
        <x:v>ميزانية مستقلة</x:v>
      </x:c>
    </x:row>
    <x:row r="18" ht="43" customHeight="1">
      <x:c r="A18" s="28" t="str">
        <x:v>P3</x:v>
      </x:c>
      <x:c r="B18" s="28" t="str">
        <x:v>منتج موسع</x:v>
      </x:c>
      <x:c r="C18" s="28" t="str">
        <x:v>أصوات ومتحف</x:v>
      </x:c>
      <x:c r="D18" s="28" t="str">
        <x:v>مخطط</x:v>
      </x:c>
      <x:c r="E18" s="28" t="str">
        <x:v>هوية كاملة</x:v>
      </x:c>
      <x:c r="F18" s="28" t="str">
        <x:v>حقوق سليمة</x:v>
      </x:c>
    </x:row>
    <x:row r="19" ht="43" customHeight="1">
      <x:c r="A19" s="28" t="str">
        <x:v>P3</x:v>
      </x:c>
      <x:c r="B19" s="28" t="str">
        <x:v>منتج موسع</x:v>
      </x:c>
      <x:c r="C19" s="28" t="str">
        <x:v>خطط تعليم مدرسي</x:v>
      </x:c>
      <x:c r="D19" s="28" t="str">
        <x:v>مخطط</x:v>
      </x:c>
      <x:c r="E19" s="28" t="str">
        <x:v>مناهج/تجارب</x:v>
      </x:c>
      <x:c r="F19" s="28" t="str">
        <x:v>اختبار طويل الأمد</x:v>
      </x:c>
    </x:row>
    <x:row r="20" ht="43" customHeight="1">
      <x:c r="A20" s="28" t="str">
        <x:v>P3</x:v>
      </x:c>
      <x:c r="B20" s="28" t="str">
        <x:v>منتج موسع</x:v>
      </x:c>
      <x:c r="C20" s="28" t="str">
        <x:v>لوحة مدرس</x:v>
      </x:c>
      <x:c r="D20" s="28" t="str">
        <x:v>مخطط</x:v>
      </x:c>
      <x:c r="E20" s="28" t="str">
        <x:v>بدون تتبع شخصي غير لازم</x:v>
      </x:c>
      <x:c r="F20" s="28" t="str">
        <x:v>خصوصية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43" hidden="0" customWidth="1"/>
    <x:col min="4" max="4" width="24" hidden="0" customWidth="1"/>
    <x:col min="5" max="5" width="80" hidden="0" customWidth="1"/>
    <x:col min="6" max="6" width="80" hidden="0" customWidth="1"/>
    <x:col min="7" max="7" width="17" hidden="0" customWidth="1"/>
  </x:cols>
  <x:sheetData>
    <x:row r="1" ht="38" customHeight="1">
      <x:c r="A1" s="4" t="str">
        <x:v>ما أُنجز فعليًا</x:v>
      </x:c>
      <x:c r="B1" s="4"/>
      <x:c r="C1" s="4"/>
      <x:c r="D1" s="4"/>
      <x:c r="E1" s="4"/>
      <x:c r="F1" s="4"/>
      <x:c r="G1" s="4"/>
    </x:row>
    <x:row r="2" ht="29" customHeight="1">
      <x:c r="A2" s="10" t="str">
        <x:v>إفصاح شفاف عن Genesis IV وماذا لا يوجد؛ حالات النسخة من ملفات المشروع لا من اعتماد خارجي</x:v>
      </x:c>
      <x:c r="B2" s="10"/>
      <x:c r="C2" s="10"/>
      <x:c r="D2" s="10"/>
      <x:c r="E2" s="10"/>
      <x:c r="F2" s="10"/>
      <x:c r="G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</x:row>
    <x:row r="5" ht="34" customHeight="1">
      <x:c r="A5" s="21" t="str">
        <x:v>ID</x:v>
      </x:c>
      <x:c r="B5" s="21" t="str">
        <x:v>الوظيفة</x:v>
      </x:c>
      <x:c r="C5" s="21" t="str">
        <x:v>أساس الحكم</x:v>
      </x:c>
      <x:c r="D5" s="21" t="str">
        <x:v>الحالة</x:v>
      </x:c>
      <x:c r="E5" s="21" t="str">
        <x:v>ما هو متاح/غير متاح</x:v>
      </x:c>
      <x:c r="F5" s="21" t="str">
        <x:v>ما يلزم التحقق منه</x:v>
      </x:c>
      <x:c r="G5" s="21" t="str">
        <x:v>المرجع</x:v>
      </x:c>
    </x:row>
    <x:row r="6" ht="43" customHeight="1">
      <x:c r="A6" s="28" t="str">
        <x:v>A01</x:v>
      </x:c>
      <x:c r="B6" s="28" t="str">
        <x:v>فصل Apollo 15</x:v>
      </x:c>
      <x:c r="C6" s="28" t="str">
        <x:v>ملف HTML الحالي + README</x:v>
      </x:c>
      <x:c r="D6" s="28" t="str">
        <x:v>موجود حاليًا</x:v>
      </x:c>
      <x:c r="E6" s="28" t="str">
        <x:v>تشغيل المناظر، الأدلة، الدائرة، الربط، القيادة، الحزم، المختبر، الخاتمة</x:v>
      </x:c>
      <x:c r="F6" s="28" t="str">
        <x:v>يحتاج مراجعة مستقلة واقعية</x:v>
      </x:c>
      <x:c r="G6" s="28" t="str">
        <x:v>S29/S30</x:v>
      </x:c>
    </x:row>
    <x:row r="7" ht="43" customHeight="1">
      <x:c r="A7" s="28" t="str">
        <x:v>A02</x:v>
      </x:c>
      <x:c r="B7" s="28" t="str">
        <x:v>فصل Opportunity</x:v>
      </x:c>
      <x:c r="C7" s="28" t="str">
        <x:v>README + ملف JS</x:v>
      </x:c>
      <x:c r="D7" s="28" t="str">
        <x:v>موجود حاليًا</x:v>
      </x:c>
      <x:c r="E7" s="28" t="str">
        <x:v>4 أيام طاقة افتراضية وفك شفرة</x:v>
      </x:c>
      <x:c r="F7" s="28" t="str">
        <x:v>تحقق المتانة على أكثر من مسار</x:v>
      </x:c>
      <x:c r="G7" s="28" t="str">
        <x:v>S29/S30</x:v>
      </x:c>
    </x:row>
    <x:row r="8" ht="43" customHeight="1">
      <x:c r="A8" s="28" t="str">
        <x:v>A03</x:v>
      </x:c>
      <x:c r="B8" s="28" t="str">
        <x:v>ORIGIN</x:v>
      </x:c>
      <x:c r="C8" s="28" t="str">
        <x:v>ملف واجهة</x:v>
      </x:c>
      <x:c r="D8" s="28" t="str">
        <x:v>موجود حاليًا</x:v>
      </x:c>
      <x:c r="E8" s="28" t="str">
        <x:v>شاشة مركز ومتحف</x:v>
      </x:c>
      <x:c r="F8" s="28" t="str">
        <x:v>التمثيل الرسومي 2.5D</x:v>
      </x:c>
      <x:c r="G8" s="28" t="str">
        <x:v>S29</x:v>
      </x:c>
    </x:row>
    <x:row r="9" ht="43" customHeight="1">
      <x:c r="A9" s="28" t="str">
        <x:v>A04</x:v>
      </x:c>
      <x:c r="B9" s="28" t="str">
        <x:v>توطين AR/EN</x:v>
      </x:c>
      <x:c r="C9" s="28" t="str">
        <x:v>ملف JS</x:v>
      </x:c>
      <x:c r="D9" s="28" t="str">
        <x:v>موجود حاليًا</x:v>
      </x:c>
      <x:c r="E9" s="28" t="str">
        <x:v>تغيير اللغة</x:v>
      </x:c>
      <x:c r="F9" s="28" t="str">
        <x:v>تحقق RTL على كل مسار</x:v>
      </x:c>
      <x:c r="G9" s="28" t="str">
        <x:v>S29</x:v>
      </x:c>
    </x:row>
    <x:row r="10" ht="43" customHeight="1">
      <x:c r="A10" s="28" t="str">
        <x:v>A05</x:v>
      </x:c>
      <x:c r="B10" s="28" t="str">
        <x:v>الحفظ</x:v>
      </x:c>
      <x:c r="C10" s="28" t="str">
        <x:v>localStorage</x:v>
      </x:c>
      <x:c r="D10" s="28" t="str">
        <x:v>موجود حاليًا</x:v>
      </x:c>
      <x:c r="E10" s="28" t="str">
        <x:v>تقدم محلي</x:v>
      </x:c>
      <x:c r="F10" s="28" t="str">
        <x:v>اختبار الترقيات/فشل الحفظ</x:v>
      </x:c>
      <x:c r="G10" s="28" t="str">
        <x:v>S29</x:v>
      </x:c>
    </x:row>
    <x:row r="11" ht="43" customHeight="1">
      <x:c r="A11" s="28" t="str">
        <x:v>A06</x:v>
      </x:c>
      <x:c r="B11" s="28" t="str">
        <x:v>رسوم 2.5D</x:v>
      </x:c>
      <x:c r="C11" s="28" t="str">
        <x:v>Canvas 2D</x:v>
      </x:c>
      <x:c r="D11" s="28" t="str">
        <x:v>موجود حاليًا</x:v>
      </x:c>
      <x:c r="E11" s="28" t="str">
        <x:v>رسومات برنامجية</x:v>
      </x:c>
      <x:c r="F11" s="28" t="str">
        <x:v>ليست 3D كامل</x:v>
      </x:c>
      <x:c r="G11" s="28" t="str">
        <x:v>S29/S30</x:v>
      </x:c>
    </x:row>
    <x:row r="12" ht="43" customHeight="1">
      <x:c r="A12" s="28" t="str">
        <x:v>A07</x:v>
      </x:c>
      <x:c r="B12" s="28" t="str">
        <x:v>رسومات 3D AAA</x:v>
      </x:c>
      <x:c r="C12" s="28" t="str">
        <x:v>لا يوجد دليل</x:v>
      </x:c>
      <x:c r="D12" s="28" t="str">
        <x:v>مؤجل</x:v>
      </x:c>
      <x:c r="E12" s="28" t="str">
        <x:v>لا نقول إنها منفذة</x:v>
      </x:c>
      <x:c r="F12" s="28" t="str">
        <x:v>في المستقبل فقط</x:v>
      </x:c>
      <x:c r="G12" s="28" t="str">
        <x:v>S30</x:v>
      </x:c>
    </x:row>
    <x:row r="13" ht="43" customHeight="1">
      <x:c r="A13" s="28" t="str">
        <x:v>A08</x:v>
      </x:c>
      <x:c r="B13" s="28" t="str">
        <x:v>حزمة أصول Kenney</x:v>
      </x:c>
      <x:c r="C13" s="28" t="str">
        <x:v>مصادر متاحة لكن غير مدمجة</x:v>
      </x:c>
      <x:c r="D13" s="28" t="str">
        <x:v>مخطط</x:v>
      </x:c>
      <x:c r="E13" s="28" t="str">
        <x:v>غير موجودة داخل اللعبة الحالية</x:v>
      </x:c>
      <x:c r="F13" s="28" t="str">
        <x:v>يحتاج تنزيل وتعديل قانوني</x:v>
      </x:c>
      <x:c r="G13" s="28" t="str">
        <x:v>S15</x:v>
      </x:c>
    </x:row>
    <x:row r="14" ht="43" customHeight="1">
      <x:c r="A14" s="28" t="str">
        <x:v>A09</x:v>
      </x:c>
      <x:c r="B14" s="28" t="str">
        <x:v>اختبارات آلية</x:v>
      </x:c>
      <x:c r="C14" s="28" t="str">
        <x:v>README يذكر مرور Playwright</x:v>
      </x:c>
      <x:c r="D14" s="28" t="str">
        <x:v>يحتاج تحقق</x:v>
      </x:c>
      <x:c r="E14" s="28" t="str">
        <x:v>الادعاء سابق وليس تقرير اختبار مستقل جديد</x:v>
      </x:c>
      <x:c r="F14" s="28" t="str">
        <x:v>إعادة اختبار نسخة التسليم</x:v>
      </x:c>
      <x:c r="G14" s="28" t="str">
        <x:v>S30</x:v>
      </x:c>
    </x:row>
    <x:row r="15" ht="43" customHeight="1">
      <x:c r="A15" s="28" t="str">
        <x:v>A10</x:v>
      </x:c>
      <x:c r="B15" s="28" t="str">
        <x:v>اختبارات عمر 12–18</x:v>
      </x:c>
      <x:c r="C15" s="28" t="str">
        <x:v>لا سجلات نتائج</x:v>
      </x:c>
      <x:c r="D15" s="28" t="str">
        <x:v>لم يبدأ</x:v>
      </x:c>
      <x:c r="E15" s="28" t="str">
        <x:v>عدم ادعاء أي نسبة</x:v>
      </x:c>
      <x:c r="F15" s="28" t="str">
        <x:v>موافقة مناسبة</x:v>
      </x:c>
      <x:c r="G15" s="28" t="str">
        <x:v>Learning</x:v>
      </x:c>
    </x:row>
    <x:row r="16" ht="43" customHeight="1">
      <x:c r="A16" s="28" t="str">
        <x:v>A11</x:v>
      </x:c>
      <x:c r="B16" s="28" t="str">
        <x:v>نتائج تحسن تعليمي</x:v>
      </x:c>
      <x:c r="C16" s="28" t="str">
        <x:v>لا سجل</x:v>
      </x:c>
      <x:c r="D16" s="28" t="str">
        <x:v>لم يبدأ</x:v>
      </x:c>
      <x:c r="E16" s="28" t="str">
        <x:v>الهدف اقتراح فقط</x:v>
      </x:c>
      <x:c r="F16" s="28" t="str">
        <x:v>ابدأ pilot</x:v>
      </x:c>
      <x:c r="G16" s="28" t="str">
        <x:v>Learning</x:v>
      </x:c>
    </x:row>
    <x:row r="17" ht="43" customHeight="1">
      <x:c r="A17" s="28" t="str">
        <x:v>A12</x:v>
      </x:c>
      <x:c r="B17" s="28" t="str">
        <x:v>توافق 100% متصفحات</x:v>
      </x:c>
      <x:c r="C17" s="28" t="str">
        <x:v>لا مصفوفة فعلية</x:v>
      </x:c>
      <x:c r="D17" s="28" t="str">
        <x:v>لم يبدأ</x:v>
      </x:c>
      <x:c r="E17" s="28" t="str">
        <x:v>لا تزعم دعمًا شاملا</x:v>
      </x:c>
      <x:c r="F17" s="28" t="str">
        <x:v>Browser matrix</x:v>
      </x:c>
      <x:c r="G17" s="28" t="str">
        <x:v>QA</x:v>
      </x:c>
    </x:row>
    <x:row r="18" ht="43" customHeight="1">
      <x:c r="A18" s="28" t="str">
        <x:v>A13</x:v>
      </x:c>
      <x:c r="B18" s="28" t="str">
        <x:v>مصادر داخل اللعبة</x:v>
      </x:c>
      <x:c r="C18" s="28" t="str">
        <x:v>README يحتوي روابط NASA</x:v>
      </x:c>
      <x:c r="D18" s="28" t="str">
        <x:v>يحتاج تحقق</x:v>
      </x:c>
      <x:c r="E18" s="28" t="str">
        <x:v>راجع تفاصيل الاقتباسات أثناء اللعب</x:v>
      </x:c>
      <x:c r="F18" s="28" t="str">
        <x:v>Claim matrix</x:v>
      </x:c>
      <x:c r="G18" s="28" t="str">
        <x:v>S30</x:v>
      </x:c>
    </x:row>
    <x:row r="19" ht="43" customHeight="1">
      <x:c r="A19" s="28" t="str">
        <x:v>A14</x:v>
      </x:c>
      <x:c r="B19" s="28" t="str">
        <x:v>رابط نشر رسمي</x:v>
      </x:c>
      <x:c r="C19" s="28" t="str">
        <x:v>لا مسار منشور متحقق في هذه المهمة</x:v>
      </x:c>
      <x:c r="D19" s="28" t="str">
        <x:v>لم يبدأ</x:v>
      </x:c>
      <x:c r="E19" s="28" t="str">
        <x:v>HTML المحلي ليس خدمة عالمية</x:v>
      </x:c>
      <x:c r="F19" s="28" t="str">
        <x:v>Deploy</x:v>
      </x:c>
      <x:c r="G19" s="28" t="str">
        <x:v>README</x:v>
      </x:c>
    </x:row>
    <x:row r="20" ht="43" customHeight="1">
      <x:c r="A20" s="28" t="str">
        <x:v>A15</x:v>
      </x:c>
      <x:c r="B20" s="28" t="str">
        <x:v>حق استخدام النسخ مسبقًا</x:v>
      </x:c>
      <x:c r="C20" s="28" t="str">
        <x:v>تحذير أحداث 2026</x:v>
      </x:c>
      <x:c r="D20" s="28" t="str">
        <x:v>محظور حتى التحقق</x:v>
      </x:c>
      <x:c r="E20" s="28" t="str">
        <x:v>لا تقديم ملف سابق كعمل حدث دون إذن</x:v>
      </x:c>
      <x:c r="F20" s="28" t="str">
        <x:v>سؤال المنظم</x:v>
      </x:c>
      <x:c r="G20" s="28" t="str">
        <x:v>S03</x:v>
      </x:c>
    </x:row>
    <x:row r="21" ht="43" customHeight="1">
      <x:c r="A21" s="28" t="str">
        <x:v>A16</x:v>
      </x:c>
      <x:c r="B21" s="28" t="str">
        <x:v>عرض مسابقة نهائي</x:v>
      </x:c>
      <x:c r="C21" s="28" t="str">
        <x:v>لا يوجد فيديو صالح موثق</x:v>
      </x:c>
      <x:c r="D21" s="28" t="str">
        <x:v>لم يبدأ</x:v>
      </x:c>
      <x:c r="E21" s="28" t="str">
        <x:v>اعرض شاشة حقيقية</x:v>
      </x:c>
      <x:c r="F21" s="28" t="str">
        <x:v>تسجيل</x:v>
      </x:c>
      <x:c r="G21" s="28" t="str">
        <x:v>Demo</x:v>
      </x:c>
    </x:row>
    <x:row r="22" ht="43" customHeight="1">
      <x:c r="A22" s="28" t="str">
        <x:v>A17</x:v>
      </x:c>
      <x:c r="B22" s="28" t="str">
        <x:v>متابعة XP</x:v>
      </x:c>
      <x:c r="C22" s="28" t="str">
        <x:v>موجود وفق README</x:v>
      </x:c>
      <x:c r="D22" s="28" t="str">
        <x:v>موجود حاليًا</x:v>
      </x:c>
      <x:c r="E22" s="28" t="str">
        <x:v>نظام تجميع وخصم</x:v>
      </x:c>
      <x:c r="F22" s="28" t="str">
        <x:v>افحص منع تكرار النقاط</x:v>
      </x:c>
      <x:c r="G22" s="28" t="str">
        <x:v>S30</x:v>
      </x:c>
    </x:row>
    <x:row r="23" ht="43" customHeight="1">
      <x:c r="A23" s="28" t="str">
        <x:v>A18</x:v>
      </x:c>
      <x:c r="B23" s="28" t="str">
        <x:v>مصادر الصور الخارجية</x:v>
      </x:c>
      <x:c r="C23" s="28" t="str">
        <x:v>لا متطلب للأصل 2.5D</x:v>
      </x:c>
      <x:c r="D23" s="28" t="str">
        <x:v>مخطط</x:v>
      </x:c>
      <x:c r="E23" s="28" t="str">
        <x:v>لا أصول صور NASA مدمجة في README</x:v>
      </x:c>
      <x:c r="F23" s="28" t="str">
        <x:v>يراجع عند الدمج</x:v>
      </x:c>
      <x:c r="G23" s="28" t="str">
        <x:v>S30</x:v>
      </x:c>
    </x:row>
    <x:row r="24" ht="43" customHeight="1">
      <x:c r="A24" s="28" t="str">
        <x:v>A19</x:v>
      </x:c>
      <x:c r="B24" s="28" t="str">
        <x:v>دعم أطفال</x:v>
      </x:c>
      <x:c r="C24" s="28" t="str">
        <x:v>الهدف 12–18</x:v>
      </x:c>
      <x:c r="D24" s="28" t="str">
        <x:v>مخطط</x:v>
      </x:c>
      <x:c r="E24" s="28" t="str">
        <x:v>لا يعد إثبات الملاءمة</x:v>
      </x:c>
      <x:c r="F24" s="28" t="str">
        <x:v>اختبار قابلية فهم</x:v>
      </x:c>
      <x:c r="G24" s="28" t="str">
        <x:v>LO</x:v>
      </x:c>
    </x:row>
    <x:row r="25" ht="43" customHeight="1">
      <x:c r="A25" s="28" t="str">
        <x:v>A20</x:v>
      </x:c>
      <x:c r="B25" s="28" t="str">
        <x:v>ملف GDD Excel</x:v>
      </x:c>
      <x:c r="C25" s="28" t="str">
        <x:v>هذا المصنف</x:v>
      </x:c>
      <x:c r="D25" s="28" t="str">
        <x:v>مكتمل</x:v>
      </x:c>
      <x:c r="E25" s="28" t="str">
        <x:v>وثيقة تصميم وتقييم داخلي فقط</x:v>
      </x:c>
      <x:c r="F25" s="28" t="str">
        <x:v>لا تعني استيفاء NASA</x:v>
      </x:c>
      <x:c r="G25" s="28" t="str">
        <x:v>داخلي</x:v>
      </x:c>
    </x:row>
  </x:sheetData>
  <x:mergeCells>
    <x:mergeCell ref="A1:G1"/>
    <x:mergeCell ref="A2:G2"/>
    <x:mergeCell ref="A3:G3"/>
  </x:mergeCells>
  <x:conditionalFormatting sqref="D6:D25">
    <x:cfRule type="expression" dxfId="78" priority="1">
      <x:formula>D6="مكتمل"</x:formula>
    </x:cfRule>
    <x:cfRule type="expression" dxfId="79" priority="2">
      <x:formula>D6="محظور حتى التحقق"</x:formula>
    </x:cfRule>
    <x:cfRule type="expression" dxfId="80" priority="3">
      <x:formula>D6="يحتاج تحقق"</x:formula>
    </x:cfRule>
  </x:conditionalFormatting>
  <x:dataValidations count="1">
    <x:dataValidation type="list" sqref="D6:D25">
      <x:formula1>"موجود حاليًا,قيد التطوير,مخطط,يحتاج تحقق,مكتمل,لم يبدأ,مؤجل,محظور حتى التحقق,غير منطبق"</x:formula1>
    </x:dataValidation>
  </x:dataValidation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82" hidden="0" customWidth="1"/>
    <x:col min="4" max="4" width="16" hidden="0" customWidth="1"/>
    <x:col min="5" max="5" width="22" hidden="0" customWidth="1"/>
    <x:col min="6" max="6" width="16" hidden="0" customWidth="1"/>
  </x:cols>
  <x:sheetData>
    <x:row r="1" ht="38" customHeight="1">
      <x:c r="A1" s="4" t="str">
        <x:v>قرار الإطلاق</x:v>
      </x:c>
      <x:c r="B1" s="4"/>
      <x:c r="C1" s="4"/>
      <x:c r="D1" s="4"/>
      <x:c r="E1" s="4"/>
      <x:c r="F1" s="4"/>
    </x:row>
    <x:row r="2" ht="29" customHeight="1">
      <x:c r="A2" s="10" t="str">
        <x:v>بوابات قبول داخلية؛ الحالة الافتراضية غير متحقق وليس فشلًا آليًا بل نقص دليل. لا تتنبأ بالفوز.</x:v>
      </x:c>
      <x:c r="B2" s="10"/>
      <x:c r="C2" s="10"/>
      <x:c r="D2" s="10"/>
      <x:c r="E2" s="10"/>
      <x:c r="F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</x:row>
    <x:row r="5" ht="34" customHeight="1">
      <x:c r="A5" s="21" t="str">
        <x:v>ID</x:v>
      </x:c>
      <x:c r="B5" s="21" t="str">
        <x:v>مجال</x:v>
      </x:c>
      <x:c r="C5" s="21" t="str">
        <x:v>الشرط</x:v>
      </x:c>
      <x:c r="D5" s="21" t="str">
        <x:v>الأولوية</x:v>
      </x:c>
      <x:c r="E5" s="21" t="str">
        <x:v>الحالة</x:v>
      </x:c>
      <x:c r="F5" s="21" t="str">
        <x:v>المرجع</x:v>
      </x:c>
    </x:row>
    <x:row r="6" ht="43" customHeight="1">
      <x:c r="A6" s="28" t="str">
        <x:v>RG01</x:v>
      </x:c>
      <x:c r="B6" s="28" t="str">
        <x:v>الأهلية</x:v>
      </x:c>
      <x:c r="C6" s="28" t="str">
        <x:v>رد واضح عن الكود الذي سبق الهاكاثون</x:v>
      </x:c>
      <x:c r="D6" s="28" t="str">
        <x:v>حرج</x:v>
      </x:c>
      <x:c r="E6" s="28" t="str">
        <x:v>غير متحقق</x:v>
      </x:c>
      <x:c r="F6" s="28" t="str">
        <x:v>S03</x:v>
      </x:c>
    </x:row>
    <x:row r="7" ht="43" customHeight="1">
      <x:c r="A7" s="28" t="str">
        <x:v>RG02</x:v>
      </x:c>
      <x:c r="B7" s="28" t="str">
        <x:v>الأهلية</x:v>
      </x:c>
      <x:c r="C7" s="28" t="str">
        <x:v>قائمة المساهمين/المصادر وساعات العمل</x:v>
      </x:c>
      <x:c r="D7" s="28" t="str">
        <x:v>حرج</x:v>
      </x:c>
      <x:c r="E7" s="28" t="str">
        <x:v>غير متحقق</x:v>
      </x:c>
      <x:c r="F7" s="28" t="str">
        <x:v>S01</x:v>
      </x:c>
    </x:row>
    <x:row r="8" ht="43" customHeight="1">
      <x:c r="A8" s="28" t="str">
        <x:v>RG03</x:v>
      </x:c>
      <x:c r="B8" s="28" t="str">
        <x:v>فصل القمر</x:v>
      </x:c>
      <x:c r="C8" s="28" t="str">
        <x:v>يمكن البدء والإنهاء دون developer assistance</x:v>
      </x:c>
      <x:c r="D8" s="28" t="str">
        <x:v>حرج</x:v>
      </x:c>
      <x:c r="E8" s="28" t="str">
        <x:v>غير متحقق</x:v>
      </x:c>
      <x:c r="F8" s="28" t="str">
        <x:v>TC</x:v>
      </x:c>
    </x:row>
    <x:row r="9" ht="43" customHeight="1">
      <x:c r="A9" s="28" t="str">
        <x:v>RG04</x:v>
      </x:c>
      <x:c r="B9" s="28" t="str">
        <x:v>فصل القمر</x:v>
      </x:c>
      <x:c r="C9" s="28" t="str">
        <x:v>الدائرة والربط يُحلان منطقيًا</x:v>
      </x:c>
      <x:c r="D9" s="28" t="str">
        <x:v>حرج</x:v>
      </x:c>
      <x:c r="E9" s="28" t="str">
        <x:v>غير متحقق</x:v>
      </x:c>
      <x:c r="F9" s="28" t="str">
        <x:v>PZ02/PZ03</x:v>
      </x:c>
    </x:row>
    <x:row r="10" ht="43" customHeight="1">
      <x:c r="A10" s="28" t="str">
        <x:v>RG05</x:v>
      </x:c>
      <x:c r="B10" s="28" t="str">
        <x:v>قيادة</x:v>
      </x:c>
      <x:c r="C10" s="28" t="str">
        <x:v>كل مسار له نهاية وحزم قابلة للجمع</x:v>
      </x:c>
      <x:c r="D10" s="28" t="str">
        <x:v>حرج</x:v>
      </x:c>
      <x:c r="E10" s="28" t="str">
        <x:v>غير متحقق</x:v>
      </x:c>
      <x:c r="F10" s="28" t="str">
        <x:v>TC</x:v>
      </x:c>
    </x:row>
    <x:row r="11" ht="43" customHeight="1">
      <x:c r="A11" s="28" t="str">
        <x:v>RG06</x:v>
      </x:c>
      <x:c r="B11" s="28" t="str">
        <x:v>علوم</x:v>
      </x:c>
      <x:c r="C11" s="28" t="str">
        <x:v>لا claim تاريخي بلا NASA source</x:v>
      </x:c>
      <x:c r="D11" s="28" t="str">
        <x:v>حرج</x:v>
      </x:c>
      <x:c r="E11" s="28" t="str">
        <x:v>غير متحقق</x:v>
      </x:c>
      <x:c r="F11" s="28" t="str">
        <x:v>CL</x:v>
      </x:c>
    </x:row>
    <x:row r="12" ht="43" customHeight="1">
      <x:c r="A12" s="28" t="str">
        <x:v>RG07</x:v>
      </x:c>
      <x:c r="B12" s="28" t="str">
        <x:v>علوم</x:v>
      </x:c>
      <x:c r="C12" s="28" t="str">
        <x:v>توثيق Simulation مقابل History</x:v>
      </x:c>
      <x:c r="D12" s="28" t="str">
        <x:v>حرج</x:v>
      </x:c>
      <x:c r="E12" s="28" t="str">
        <x:v>غير متحقق</x:v>
      </x:c>
      <x:c r="F12" s="28" t="str">
        <x:v>CL</x:v>
      </x:c>
    </x:row>
    <x:row r="13" ht="43" customHeight="1">
      <x:c r="A13" s="28" t="str">
        <x:v>RG08</x:v>
      </x:c>
      <x:c r="B13" s="28" t="str">
        <x:v>المريخ</x:v>
      </x:c>
      <x:c r="C13" s="28" t="str">
        <x:v>يُنجز بعد القمر دون softlock</x:v>
      </x:c>
      <x:c r="D13" s="28" t="str">
        <x:v>حرج</x:v>
      </x:c>
      <x:c r="E13" s="28" t="str">
        <x:v>غير متحقق</x:v>
      </x:c>
      <x:c r="F13" s="28" t="str">
        <x:v>TC</x:v>
      </x:c>
    </x:row>
    <x:row r="14" ht="43" customHeight="1">
      <x:c r="A14" s="28" t="str">
        <x:v>RG09</x:v>
      </x:c>
      <x:c r="B14" s="28" t="str">
        <x:v>المريخ</x:v>
      </x:c>
      <x:c r="C14" s="28" t="str">
        <x:v>معادلة الطاقة ووحداتها صحيحة</x:v>
      </x:c>
      <x:c r="D14" s="28" t="str">
        <x:v>حرج</x:v>
      </x:c>
      <x:c r="E14" s="28" t="str">
        <x:v>غير متحقق</x:v>
      </x:c>
      <x:c r="F14" s="28" t="str">
        <x:v>SIM08</x:v>
      </x:c>
    </x:row>
    <x:row r="15" ht="43" customHeight="1">
      <x:c r="A15" s="28" t="str">
        <x:v>RG10</x:v>
      </x:c>
      <x:c r="B15" s="28" t="str">
        <x:v>تجربة</x:v>
      </x:c>
      <x:c r="C15" s="28" t="str">
        <x:v>استنتاج علمي مدعوم بالأدلة</x:v>
      </x:c>
      <x:c r="D15" s="28" t="str">
        <x:v>حرج</x:v>
      </x:c>
      <x:c r="E15" s="28" t="str">
        <x:v>غير متحقق</x:v>
      </x:c>
      <x:c r="F15" s="28" t="str">
        <x:v>PZ09</x:v>
      </x:c>
    </x:row>
    <x:row r="16" ht="43" customHeight="1">
      <x:c r="A16" s="28" t="str">
        <x:v>RG11</x:v>
      </x:c>
      <x:c r="B16" s="28" t="str">
        <x:v>الواجهة</x:v>
      </x:c>
      <x:c r="C16" s="28" t="str">
        <x:v>لا أخطاء مقطعة للعربية</x:v>
      </x:c>
      <x:c r="D16" s="28" t="str">
        <x:v>P0</x:v>
      </x:c>
      <x:c r="E16" s="28" t="str">
        <x:v>غير متحقق</x:v>
      </x:c>
      <x:c r="F16" s="28" t="str">
        <x:v>UX11</x:v>
      </x:c>
    </x:row>
    <x:row r="17" ht="43" customHeight="1">
      <x:c r="A17" s="28" t="str">
        <x:v>RG12</x:v>
      </x:c>
      <x:c r="B17" s="28" t="str">
        <x:v>الحفظ</x:v>
      </x:c>
      <x:c r="C17" s="28" t="str">
        <x:v>reload وreset دون فقد غير مقصود</x:v>
      </x:c>
      <x:c r="D17" s="28" t="str">
        <x:v>حرج</x:v>
      </x:c>
      <x:c r="E17" s="28" t="str">
        <x:v>غير متحقق</x:v>
      </x:c>
      <x:c r="F17" s="28" t="str">
        <x:v>TC</x:v>
      </x:c>
    </x:row>
    <x:row r="18" ht="43" customHeight="1">
      <x:c r="A18" s="28" t="str">
        <x:v>RG13</x:v>
      </x:c>
      <x:c r="B18" s="28" t="str">
        <x:v>الأداء</x:v>
      </x:c>
      <x:c r="C18" s="28" t="str">
        <x:v>لا تعليق مؤثر على حاسوب العرض</x:v>
      </x:c>
      <x:c r="D18" s="28" t="str">
        <x:v>P0</x:v>
      </x:c>
      <x:c r="E18" s="28" t="str">
        <x:v>غير متحقق</x:v>
      </x:c>
      <x:c r="F18" s="28" t="str">
        <x:v>UX</x:v>
      </x:c>
    </x:row>
    <x:row r="19" ht="43" customHeight="1">
      <x:c r="A19" s="28" t="str">
        <x:v>RG14</x:v>
      </x:c>
      <x:c r="B19" s="28" t="str">
        <x:v>الصوت</x:v>
      </x:c>
      <x:c r="C19" s="28" t="str">
        <x:v>يمكن الإيقاف دون فقد معلومة</x:v>
      </x:c>
      <x:c r="D19" s="28" t="str">
        <x:v>P0</x:v>
      </x:c>
      <x:c r="E19" s="28" t="str">
        <x:v>غير متحقق</x:v>
      </x:c>
      <x:c r="F19" s="28" t="str">
        <x:v>UX10</x:v>
      </x:c>
    </x:row>
    <x:row r="20" ht="43" customHeight="1">
      <x:c r="A20" s="28" t="str">
        <x:v>RG15</x:v>
      </x:c>
      <x:c r="B20" s="28" t="str">
        <x:v>حقوق</x:v>
      </x:c>
      <x:c r="C20" s="28" t="str">
        <x:v>لا شعار NASA يوحي بالإقرار</x:v>
      </x:c>
      <x:c r="D20" s="28" t="str">
        <x:v>حرج</x:v>
      </x:c>
      <x:c r="E20" s="28" t="str">
        <x:v>غير متحقق</x:v>
      </x:c>
      <x:c r="F20" s="28" t="str">
        <x:v>S13</x:v>
      </x:c>
    </x:row>
    <x:row r="21" ht="43" customHeight="1">
      <x:c r="A21" s="28" t="str">
        <x:v>RG16</x:v>
      </x:c>
      <x:c r="B21" s="28" t="str">
        <x:v>أثر</x:v>
      </x:c>
      <x:c r="C21" s="28" t="str">
        <x:v>تجربة مستخدم فعلية واحدة على الأقل</x:v>
      </x:c>
      <x:c r="D21" s="28" t="str">
        <x:v>P0</x:v>
      </x:c>
      <x:c r="E21" s="28" t="str">
        <x:v>غير متحقق</x:v>
      </x:c>
      <x:c r="F21" s="28" t="str">
        <x:v>UT</x:v>
      </x:c>
    </x:row>
    <x:row r="22" ht="43" customHeight="1">
      <x:c r="A22" s="28" t="str">
        <x:v>RG17</x:v>
      </x:c>
      <x:c r="B22" s="28" t="str">
        <x:v>تقديم</x:v>
      </x:c>
      <x:c r="C22" s="28" t="str">
        <x:v>رابط يعمل أو طريقة تنزيل تقبلها المنصة</x:v>
      </x:c>
      <x:c r="D22" s="28" t="str">
        <x:v>حرج</x:v>
      </x:c>
      <x:c r="E22" s="28" t="str">
        <x:v>غير متحقق</x:v>
      </x:c>
      <x:c r="F22" s="28" t="str">
        <x:v>S01</x:v>
      </x:c>
    </x:row>
    <x:row r="23" ht="43" customHeight="1">
      <x:c r="A23" s="28" t="str">
        <x:v>RG18</x:v>
      </x:c>
      <x:c r="B23" s="28" t="str">
        <x:v>تقديم</x:v>
      </x:c>
      <x:c r="C23" s="28" t="str">
        <x:v>صفحة المشروع الرسمية مكتملة</x:v>
      </x:c>
      <x:c r="D23" s="28" t="str">
        <x:v>حرج</x:v>
      </x:c>
      <x:c r="E23" s="28" t="str">
        <x:v>غير متحقق</x:v>
      </x:c>
      <x:c r="F23" s="28" t="str">
        <x:v>S01</x:v>
      </x:c>
    </x:row>
    <x:row r="24" ht="43" customHeight="1">
      <x:c r="A24" s="28" t="str">
        <x:v>RG19</x:v>
      </x:c>
      <x:c r="B24" s="28" t="str">
        <x:v>تقديم</x:v>
      </x:c>
      <x:c r="C24" s="28" t="str">
        <x:v>فيديو ديمو حقيقي ضمن وقت الفعالية</x:v>
      </x:c>
      <x:c r="D24" s="28" t="str">
        <x:v>P0</x:v>
      </x:c>
      <x:c r="E24" s="28" t="str">
        <x:v>غير متحقق</x:v>
      </x:c>
      <x:c r="F24" s="28" t="str">
        <x:v>Demo</x:v>
      </x:c>
    </x:row>
    <x:row r="25" ht="43" customHeight="1">
      <x:c r="A25" s="28" t="str">
        <x:v>RG20</x:v>
      </x:c>
      <x:c r="B25" s="28" t="str">
        <x:v>تقديم</x:v>
      </x:c>
      <x:c r="C25" s="28" t="str">
        <x:v>تم الإرسال قبل الموعد مع إثبات</x:v>
      </x:c>
      <x:c r="D25" s="28" t="str">
        <x:v>حرج</x:v>
      </x:c>
      <x:c r="E25" s="28" t="str">
        <x:v>غير متحقق</x:v>
      </x:c>
      <x:c r="F25" s="28" t="str">
        <x:v>S01</x:v>
      </x:c>
    </x:row>
  </x:sheetData>
  <x:mergeCells>
    <x:mergeCell ref="A1:F1"/>
    <x:mergeCell ref="A2:F2"/>
    <x:mergeCell ref="A3:F3"/>
  </x:mergeCells>
  <x:conditionalFormatting sqref="E6:E25">
    <x:cfRule type="expression" dxfId="81" priority="1">
      <x:formula>E6="نجح بدليل"</x:formula>
    </x:cfRule>
    <x:cfRule type="expression" dxfId="82" priority="2">
      <x:formula>E6="فشل"</x:formula>
    </x:cfRule>
  </x:conditionalFormatting>
  <x:dataValidations count="1">
    <x:dataValidation type="list" sqref="E6:E25">
      <x:formula1>"غير متحقق,نجح بدليل,فشل,غير منطبق"</x:formula1>
    </x:dataValidation>
  </x:dataValidation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50" hidden="0" customWidth="1"/>
    <x:col min="3" max="3" width="72" hidden="0" customWidth="1"/>
    <x:col min="4" max="4" width="62" hidden="0" customWidth="1"/>
    <x:col min="5" max="5" width="26" hidden="0" customWidth="1"/>
    <x:col min="6" max="6" width="21" hidden="0" customWidth="1"/>
  </x:cols>
  <x:sheetData>
    <x:row r="1" ht="38" customHeight="1">
      <x:c r="A1" s="4" t="str">
        <x:v>سجل القرارات</x:v>
      </x:c>
      <x:c r="B1" s="4"/>
      <x:c r="C1" s="4"/>
      <x:c r="D1" s="4"/>
      <x:c r="E1" s="4"/>
      <x:c r="F1" s="4"/>
    </x:row>
    <x:row r="2" ht="29" customHeight="1">
      <x:c r="A2" s="10" t="str">
        <x:v>سبب كل قرار حساس وتاريخه؛ يُحدّث عند وصول رد التنظيم أو نتيجة الاختبار</x:v>
      </x:c>
      <x:c r="B2" s="10"/>
      <x:c r="C2" s="10"/>
      <x:c r="D2" s="10"/>
      <x:c r="E2" s="10"/>
      <x:c r="F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</x:row>
    <x:row r="5" ht="34" customHeight="1">
      <x:c r="A5" s="21" t="str">
        <x:v>ID</x:v>
      </x:c>
      <x:c r="B5" s="21" t="str">
        <x:v>القرار</x:v>
      </x:c>
      <x:c r="C5" s="21" t="str">
        <x:v>الإجراء المتخذ/المقترح</x:v>
      </x:c>
      <x:c r="D5" s="21" t="str">
        <x:v>السبب</x:v>
      </x:c>
      <x:c r="E5" s="21" t="str">
        <x:v>حالة القرار</x:v>
      </x:c>
      <x:c r="F5" s="21" t="str">
        <x:v>تاريخ</x:v>
      </x:c>
    </x:row>
    <x:row r="6" ht="43" customHeight="1">
      <x:c r="A6" s="28" t="str">
        <x:v>D01</x:v>
      </x:c>
      <x:c r="B6" s="28" t="str">
        <x:v>التقديم أهم من توسع بلا حدود</x:v>
      </x:c>
      <x:c r="C6" s="28" t="str">
        <x:v>ركز على Apollo/Mars</x:v>
      </x:c>
      <x:c r="D6" s="28" t="str">
        <x:v>خطر ضياع الوقت</x:v>
      </x:c>
      <x:c r="E6" s="28" t="str">
        <x:v>مُعتمد تصميميًا</x:v>
      </x:c>
      <x:c r="F6" s="28" t="str">
        <x:v>2026-10-27</x:v>
      </x:c>
    </x:row>
    <x:row r="7" ht="43" customHeight="1">
      <x:c r="A7" s="28" t="str">
        <x:v>D02</x:v>
      </x:c>
      <x:c r="B7" s="28" t="str">
        <x:v>الصحة التاريخية فوق الإثارة</x:v>
      </x:c>
      <x:c r="C7" s="28" t="str">
        <x:v>فصل المحاكاة عن الحقيقي</x:v>
      </x:c>
      <x:c r="D7" s="28" t="str">
        <x:v>ثقة المحكم</x:v>
      </x:c>
      <x:c r="E7" s="28" t="str">
        <x:v>مُعتمد تصميميًا</x:v>
      </x:c>
      <x:c r="F7" s="28" t="str">
        <x:v>2026-10-27</x:v>
      </x:c>
    </x:row>
    <x:row r="8" ht="43" customHeight="1">
      <x:c r="A8" s="28" t="str">
        <x:v>D03</x:v>
      </x:c>
      <x:c r="B8" s="28" t="str">
        <x:v>لا تحمّل 3D غير مكتمل</x:v>
      </x:c>
      <x:c r="C8" s="28" t="str">
        <x:v>2.5D يعمل أفضل</x:v>
      </x:c>
      <x:c r="D8" s="28" t="str">
        <x:v>وقت/ميزانية</x:v>
      </x:c>
      <x:c r="E8" s="28" t="str">
        <x:v>مُعتمد تصميميًا</x:v>
      </x:c>
      <x:c r="F8" s="28" t="str">
        <x:v>2026-10-27</x:v>
      </x:c>
    </x:row>
    <x:row r="9" ht="43" customHeight="1">
      <x:c r="A9" s="28" t="str">
        <x:v>D04</x:v>
      </x:c>
      <x:c r="B9" s="28" t="str">
        <x:v>لا نضع نسبة فوز</x:v>
      </x:c>
      <x:c r="C9" s="28" t="str">
        <x:v>تقييم ذاتي لا يتنبأ</x:v>
      </x:c>
      <x:c r="D9" s="28" t="str">
        <x:v>نزاهة</x:v>
      </x:c>
      <x:c r="E9" s="28" t="str">
        <x:v>مُعتمد تصميميًا</x:v>
      </x:c>
      <x:c r="F9" s="28" t="str">
        <x:v>2026-10-27</x:v>
      </x:c>
    </x:row>
    <x:row r="10" ht="43" customHeight="1">
      <x:c r="A10" s="28" t="str">
        <x:v>D05</x:v>
      </x:c>
      <x:c r="B10" s="28" t="str">
        <x:v>حسم العمل السابق</x:v>
      </x:c>
      <x:c r="C10" s="28" t="str">
        <x:v>انتظار تصريح</x:v>
      </x:c>
      <x:c r="D10" s="28" t="str">
        <x:v>خطر أهلية</x:v>
      </x:c>
      <x:c r="E10" s="28" t="str">
        <x:v>قرار معلق</x:v>
      </x:c>
      <x:c r="F10" s="28" t="str">
        <x:v>2026-10-27</x:v>
      </x:c>
    </x:row>
    <x:row r="11" ht="43" customHeight="1">
      <x:c r="A11" s="28" t="str">
        <x:v>D06</x:v>
      </x:c>
      <x:c r="B11" s="28" t="str">
        <x:v>لا نستخدم صورًا غير مرخصة</x:v>
      </x:c>
      <x:c r="C11" s="28" t="str">
        <x:v>ترخيص أصل قبل الدمج</x:v>
      </x:c>
      <x:c r="D11" s="28" t="str">
        <x:v>حقوق</x:v>
      </x:c>
      <x:c r="E11" s="28" t="str">
        <x:v>مُعتمد تصميميًا</x:v>
      </x:c>
      <x:c r="F11" s="28" t="str">
        <x:v>2026-10-27</x:v>
      </x:c>
    </x:row>
    <x:row r="12" ht="43" customHeight="1">
      <x:c r="A12" s="28" t="str">
        <x:v>D07</x:v>
      </x:c>
      <x:c r="B12" s="28" t="str">
        <x:v>كل خطوة يجب أن تثبت العمل</x:v>
      </x:c>
      <x:c r="C12" s="28" t="str">
        <x:v>تشغيل لا بروتوكول بلا تطبيق</x:v>
      </x:c>
      <x:c r="D12" s="28" t="str">
        <x:v>التقديم</x:v>
      </x:c>
      <x:c r="E12" s="28" t="str">
        <x:v>مُعتمد تصميميًا</x:v>
      </x:c>
      <x:c r="F12" s="28" t="str">
        <x:v>2026-10-27</x:v>
      </x:c>
    </x:row>
    <x:row r="13" ht="43" customHeight="1">
      <x:c r="A13" s="28" t="str">
        <x:v>D08</x:v>
      </x:c>
      <x:c r="B13" s="28" t="str">
        <x:v>نقيس فهم الطالب</x:v>
      </x:c>
      <x:c r="C13" s="28" t="str">
        <x:v>اختبار قبلي/بعدي</x:v>
      </x:c>
      <x:c r="D13" s="28" t="str">
        <x:v>الأثر</x:v>
      </x:c>
      <x:c r="E13" s="28" t="str">
        <x:v>قرار معلق</x:v>
      </x:c>
      <x:c r="F13" s="28" t="str">
        <x:v>2026-10-27</x:v>
      </x:c>
    </x:row>
    <x:row r="14" ht="43" customHeight="1">
      <x:c r="A14" s="28" t="str">
        <x:v>D09</x:v>
      </x:c>
      <x:c r="B14" s="28" t="str">
        <x:v>6 موظفين أدوار افتراضية</x:v>
      </x:c>
      <x:c r="C14" s="28" t="str">
        <x:v>توزيع التخصصات لا ادعاء فريق</x:v>
      </x:c>
      <x:c r="D14" s="28" t="str">
        <x:v>إدارة</x:v>
      </x:c>
      <x:c r="E14" s="28" t="str">
        <x:v>مُعتمد تصميميًا</x:v>
      </x:c>
      <x:c r="F14" s="28" t="str">
        <x:v>2026-10-27</x:v>
      </x:c>
    </x:row>
    <x:row r="15" ht="43" customHeight="1">
      <x:c r="A15" s="28" t="str">
        <x:v>D10</x:v>
      </x:c>
      <x:c r="B15" s="28" t="str">
        <x:v>لا نوحي اعتماد NASA</x:v>
      </x:c>
      <x:c r="C15" s="28" t="str">
        <x:v>علامة مستقلة</x:v>
      </x:c>
      <x:c r="D15" s="28" t="str">
        <x:v>حقوق</x:v>
      </x:c>
      <x:c r="E15" s="28" t="str">
        <x:v>مُعتمد تصميميًا</x:v>
      </x:c>
      <x:c r="F15" s="28" t="str">
        <x:v>2026-10-27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58" hidden="0" customWidth="1"/>
    <x:col min="3" max="3" width="105" hidden="0" customWidth="1"/>
    <x:col min="4" max="4" width="80" hidden="0" customWidth="1"/>
    <x:col min="5" max="5" width="24" hidden="0" customWidth="1"/>
    <x:col min="6" max="6" width="72" hidden="0" customWidth="1"/>
  </x:cols>
  <x:sheetData>
    <x:row r="1" ht="38" customHeight="1">
      <x:c r="A1" s="4" t="str">
        <x:v>المصادر</x:v>
      </x:c>
      <x:c r="B1" s="4"/>
      <x:c r="C1" s="4"/>
      <x:c r="D1" s="4"/>
      <x:c r="E1" s="4"/>
      <x:c r="F1" s="4"/>
    </x:row>
    <x:row r="2" ht="29" customHeight="1">
      <x:c r="A2" s="10" t="str">
        <x:v>روابط قابلة للنسخ لكل معلومات الحدث والتاريخ والأصول؛ مصدر الصف جزء من المصداقية</x:v>
      </x:c>
      <x:c r="B2" s="10"/>
      <x:c r="C2" s="10"/>
      <x:c r="D2" s="10"/>
      <x:c r="E2" s="10"/>
      <x:c r="F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</x:row>
    <x:row r="5" ht="34" customHeight="1">
      <x:c r="A5" s="21" t="str">
        <x:v>ID</x:v>
      </x:c>
      <x:c r="B5" s="21" t="str">
        <x:v>المصدر</x:v>
      </x:c>
      <x:c r="C5" s="21" t="str">
        <x:v>URL أو مرجع الملف</x:v>
      </x:c>
      <x:c r="D5" s="21" t="str">
        <x:v>سبب الإدراج</x:v>
      </x:c>
      <x:c r="E5" s="21" t="str">
        <x:v>نوع المصدر</x:v>
      </x:c>
      <x:c r="F5" s="21" t="str">
        <x:v>قاعدة الاستخدام</x:v>
      </x:c>
    </x:row>
    <x:row r="6" ht="43" customHeight="1">
      <x:c r="A6" s="28" t="str">
        <x:v>S01</x:v>
      </x:c>
      <x:c r="B6" s="28" t="str">
        <x:v>NASA Space Apps 2026 — main</x:v>
      </x:c>
      <x:c r="C6" s="28" t="str">
        <x:v>https://www.spaceappschallenge.org/2026/</x:v>
      </x:c>
      <x:c r="D6" s="28" t="str">
        <x:v>موعد الهاكاثون، التسجيل، الحد الأقصى 6 أعضاء، التسليم</x:v>
      </x:c>
      <x:c r="E6" s="28" t="str">
        <x:v>مباشر رسمي</x:v>
      </x:c>
      <x:c r="F6" s="28" t="str">
        <x:v>راجع رابط المصدر قبل النشر</x:v>
      </x:c>
    </x:row>
    <x:row r="7" ht="43" customHeight="1">
      <x:c r="A7" s="28" t="str">
        <x:v>S02</x:v>
      </x:c>
      <x:c r="B7" s="28" t="str">
        <x:v>NASA Space Apps 2026 — challenge</x:v>
      </x:c>
      <x:c r="C7" s="28" t="str">
        <x:v>https://www.spaceappschallenge.org/2026/challenges/abandoned-but-not-forgotten-storytelling-about-nasas-discarded-equipment-on-the-moon-and-mars/</x:v>
      </x:c>
      <x:c r="D7" s="28" t="str">
        <x:v>صياغة التحدي حول المعدات المتروكة ورواية قصتها للناشئة</x:v>
      </x:c>
      <x:c r="E7" s="28" t="str">
        <x:v>مباشر رسمي</x:v>
      </x:c>
      <x:c r="F7" s="28" t="str">
        <x:v>راجع رابط المصدر قبل النشر</x:v>
      </x:c>
    </x:row>
    <x:row r="8" ht="43" customHeight="1">
      <x:c r="A8" s="28" t="str">
        <x:v>S03</x:v>
      </x:c>
      <x:c r="B8" s="28" t="str">
        <x:v>2026 Santiago local event — pre-event warning</x:v>
      </x:c>
      <x:c r="C8" s="28" t="str">
        <x:v>https://www.spaceappschallenge.org/2026/local-events/santiago-dominican-republic/</x:v>
      </x:c>
      <x:c r="D8" s="28" t="str">
        <x:v>تحذير صريح بعدم بدء تطوير الحل المقدم قبل بداية الهاكاثون؛ يستوجب التحقق</x:v>
      </x:c>
      <x:c r="E8" s="28" t="str">
        <x:v>مباشر رسمي</x:v>
      </x:c>
      <x:c r="F8" s="28" t="str">
        <x:v>راجع رابط المصدر قبل النشر</x:v>
      </x:c>
    </x:row>
    <x:row r="9" ht="43" customHeight="1">
      <x:c r="A9" s="28" t="str">
        <x:v>S04</x:v>
      </x:c>
      <x:c r="B9" s="28" t="str">
        <x:v>2026 Ajmer local judging explanation</x:v>
      </x:c>
      <x:c r="C9" s="28" t="str">
        <x:v>https://www.spaceappschallenge.org/2026/local-events/ajmer/</x:v>
      </x:c>
      <x:c r="D9" s="28" t="str">
        <x:v>خمسة محاور أثر/إبداع/صحة/ملاءمة/عرض؛ ليست أوزانًا عالمية مؤكدة</x:v>
      </x:c>
      <x:c r="E9" s="28" t="str">
        <x:v>مباشر رسمي</x:v>
      </x:c>
      <x:c r="F9" s="28" t="str">
        <x:v>راجع رابط المصدر قبل النشر</x:v>
      </x:c>
    </x:row>
    <x:row r="10" ht="43" customHeight="1">
      <x:c r="A10" s="28" t="str">
        <x:v>S05</x:v>
      </x:c>
      <x:c r="B10" s="28" t="str">
        <x:v>Apollo Lunar Roving Vehicle — NASA NSSDCA</x:v>
      </x:c>
      <x:c r="C10" s="28" t="str">
        <x:v>https://nssdc.gsfc.nasa.gov/planetary/lunar/apollo_lrv.html</x:v>
      </x:c>
      <x:c r="D10" s="28" t="str">
        <x:v>السجل التاريخي لمركبات Apollo 15/16/17 والتنقل</x:v>
      </x:c>
      <x:c r="E10" s="28" t="str">
        <x:v>مباشر رسمي</x:v>
      </x:c>
      <x:c r="F10" s="28" t="str">
        <x:v>راجع رابط المصدر قبل النشر</x:v>
      </x:c>
    </x:row>
    <x:row r="11" ht="43" customHeight="1">
      <x:c r="A11" s="28" t="str">
        <x:v>S06</x:v>
      </x:c>
      <x:c r="B11" s="28" t="str">
        <x:v>NASA Apollo Missions — Apollo 15</x:v>
      </x:c>
      <x:c r="C11" s="28" t="str">
        <x:v>https://www.nasa.gov/specials/apollo50th/missions.html</x:v>
      </x:c>
      <x:c r="D11" s="28" t="str">
        <x:v>أول استخدام للمركبة القمرية في أبولو 15 ودورها العلمي</x:v>
      </x:c>
      <x:c r="E11" s="28" t="str">
        <x:v>مباشر رسمي</x:v>
      </x:c>
      <x:c r="F11" s="28" t="str">
        <x:v>راجع رابط المصدر قبل النشر</x:v>
      </x:c>
    </x:row>
    <x:row r="12" ht="43" customHeight="1">
      <x:c r="A12" s="28" t="str">
        <x:v>S07</x:v>
      </x:c>
      <x:c r="B12" s="28" t="str">
        <x:v>NASA Apollo 15 mission report</x:v>
      </x:c>
      <x:c r="C12" s="28" t="str">
        <x:v>https://www.nasa.gov/wp-content/uploads/static/history/alsj/a15/ap15mr.pdf</x:v>
      </x:c>
      <x:c r="D12" s="28" t="str">
        <x:v>وصف هندسي أولي للمركبة والتجارب</x:v>
      </x:c>
      <x:c r="E12" s="28" t="str">
        <x:v>مباشر رسمي</x:v>
      </x:c>
      <x:c r="F12" s="28" t="str">
        <x:v>راجع رابط المصدر قبل النشر</x:v>
      </x:c>
    </x:row>
    <x:row r="13" ht="43" customHeight="1">
      <x:c r="A13" s="28" t="str">
        <x:v>S08</x:v>
      </x:c>
      <x:c r="B13" s="28" t="str">
        <x:v>NASA Apollo 15 preliminary science report</x:v>
      </x:c>
      <x:c r="C13" s="28" t="str">
        <x:v>https://www.nasa.gov/wp-content/uploads/static/history/alsj/a15/as15psr.pdf</x:v>
      </x:c>
      <x:c r="D13" s="28" t="str">
        <x:v>تقرير علمي للبعثة وحركة المركبة</x:v>
      </x:c>
      <x:c r="E13" s="28" t="str">
        <x:v>مباشر رسمي</x:v>
      </x:c>
      <x:c r="F13" s="28" t="str">
        <x:v>راجع رابط المصدر قبل النشر</x:v>
      </x:c>
    </x:row>
    <x:row r="14" ht="43" customHeight="1">
      <x:c r="A14" s="28" t="str">
        <x:v>S09</x:v>
      </x:c>
      <x:c r="B14" s="28" t="str">
        <x:v>NASA Opportunity rover mission</x:v>
      </x:c>
      <x:c r="C14" s="28" t="str">
        <x:v>https://science.nasa.gov/mission/mer-opportunity/</x:v>
      </x:c>
      <x:c r="D14" s="28" t="str">
        <x:v>طاقة شمسية، عاصفة الغبار، انقطاع الاتصال، إنهاء المهمة</x:v>
      </x:c>
      <x:c r="E14" s="28" t="str">
        <x:v>مباشر رسمي</x:v>
      </x:c>
      <x:c r="F14" s="28" t="str">
        <x:v>راجع رابط المصدر قبل النشر</x:v>
      </x:c>
    </x:row>
    <x:row r="15" ht="43" customHeight="1">
      <x:c r="A15" s="28" t="str">
        <x:v>S10</x:v>
      </x:c>
      <x:c r="B15" s="28" t="str">
        <x:v>NASA Opportunity mission ends</x:v>
      </x:c>
      <x:c r="C15" s="28" t="str">
        <x:v>https://science.nasa.gov/missions/mer/nasas-opportunity-rover-mission-on-mars-comes-to-end/</x:v>
      </x:c>
      <x:c r="D15" s="28" t="str">
        <x:v>إعلان انتهاء المهمة 13 فبراير 2019</x:v>
      </x:c>
      <x:c r="E15" s="28" t="str">
        <x:v>مباشر رسمي</x:v>
      </x:c>
      <x:c r="F15" s="28" t="str">
        <x:v>راجع رابط المصدر قبل النشر</x:v>
      </x:c>
    </x:row>
    <x:row r="16" ht="43" customHeight="1">
      <x:c r="A16" s="28" t="str">
        <x:v>S11</x:v>
      </x:c>
      <x:c r="B16" s="28" t="str">
        <x:v>NASA InSight</x:v>
      </x:c>
      <x:c r="C16" s="28" t="str">
        <x:v>https://science.nasa.gov/mission/insight/</x:v>
      </x:c>
      <x:c r="D16" s="28" t="str">
        <x:v>دراسة الزلازل المريخية، انتهاء المهمة</x:v>
      </x:c>
      <x:c r="E16" s="28" t="str">
        <x:v>مباشر رسمي</x:v>
      </x:c>
      <x:c r="F16" s="28" t="str">
        <x:v>راجع رابط المصدر قبل النشر</x:v>
      </x:c>
    </x:row>
    <x:row r="17" ht="43" customHeight="1">
      <x:c r="A17" s="28" t="str">
        <x:v>S12</x:v>
      </x:c>
      <x:c r="B17" s="28" t="str">
        <x:v>NASA Opportunity final image</x:v>
      </x:c>
      <x:c r="C17" s="28" t="str">
        <x:v>https://science.nasa.gov/resource/opportunitys-last-message/</x:v>
      </x:c>
      <x:c r="D17" s="28" t="str">
        <x:v>السياق الحقيقي لآخر الصور والاتصال؛ لا نخترع رسالة صوتية</x:v>
      </x:c>
      <x:c r="E17" s="28" t="str">
        <x:v>مباشر رسمي</x:v>
      </x:c>
      <x:c r="F17" s="28" t="str">
        <x:v>راجع رابط المصدر قبل النشر</x:v>
      </x:c>
    </x:row>
    <x:row r="18" ht="43" customHeight="1">
      <x:c r="A18" s="28" t="str">
        <x:v>S13</x:v>
      </x:c>
      <x:c r="B18" s="28" t="str">
        <x:v>NASA media and imagery use</x:v>
      </x:c>
      <x:c r="C18" s="28" t="str">
        <x:v>https://www.nasa.gov/nasa-brand-center/images-and-media/</x:v>
      </x:c>
      <x:c r="D18" s="28" t="str">
        <x:v>استخدام الصور والعلامات وعدم الإيحاء بالرعاية</x:v>
      </x:c>
      <x:c r="E18" s="28" t="str">
        <x:v>مباشر رسمي</x:v>
      </x:c>
      <x:c r="F18" s="28" t="str">
        <x:v>راجع رابط المصدر قبل النشر</x:v>
      </x:c>
    </x:row>
    <x:row r="19" ht="43" customHeight="1">
      <x:c r="A19" s="28" t="str">
        <x:v>S14</x:v>
      </x:c>
      <x:c r="B19" s="28" t="str">
        <x:v>NASA brand center</x:v>
      </x:c>
      <x:c r="C19" s="28" t="str">
        <x:v>https://www.nasa.gov/nasa-brand-center/</x:v>
      </x:c>
      <x:c r="D19" s="28" t="str">
        <x:v>الهوية والإشارات الرسمية وقيود الترويج</x:v>
      </x:c>
      <x:c r="E19" s="28" t="str">
        <x:v>مباشر رسمي</x:v>
      </x:c>
      <x:c r="F19" s="28" t="str">
        <x:v>راجع رابط المصدر قبل النشر</x:v>
      </x:c>
    </x:row>
    <x:row r="20" ht="43" customHeight="1">
      <x:c r="A20" s="28" t="str">
        <x:v>S15</x:v>
      </x:c>
      <x:c r="B20" s="28" t="str">
        <x:v>Kenney — Space Kit</x:v>
      </x:c>
      <x:c r="C20" s="28" t="str">
        <x:v>https://kenney.nl/assets/space-kit</x:v>
      </x:c>
      <x:c r="D20" s="28" t="str">
        <x:v>نماذج ثلاثية الأبعاد مرخصة CC0</x:v>
      </x:c>
      <x:c r="E20" s="28" t="str">
        <x:v>مباشر رسمي</x:v>
      </x:c>
      <x:c r="F20" s="28" t="str">
        <x:v>راجع رابط المصدر قبل النشر</x:v>
      </x:c>
    </x:row>
    <x:row r="21" ht="43" customHeight="1">
      <x:c r="A21" s="28" t="str">
        <x:v>S16</x:v>
      </x:c>
      <x:c r="B21" s="28" t="str">
        <x:v>Kenney — Space Station Kit</x:v>
      </x:c>
      <x:c r="C21" s="28" t="str">
        <x:v>https://kenney.nl/assets/space-station-kit</x:v>
      </x:c>
      <x:c r="D21" s="28" t="str">
        <x:v>90 نموذجًا للمحطة CC0</x:v>
      </x:c>
      <x:c r="E21" s="28" t="str">
        <x:v>مباشر رسمي</x:v>
      </x:c>
      <x:c r="F21" s="28" t="str">
        <x:v>راجع رابط المصدر قبل النشر</x:v>
      </x:c>
    </x:row>
    <x:row r="22" ht="43" customHeight="1">
      <x:c r="A22" s="28" t="str">
        <x:v>S17</x:v>
      </x:c>
      <x:c r="B22" s="28" t="str">
        <x:v>Kenney — Modular Space Kit</x:v>
      </x:c>
      <x:c r="C22" s="28" t="str">
        <x:v>https://kenney.nl/assets/modular-space-kit</x:v>
      </x:c>
      <x:c r="D22" s="28" t="str">
        <x:v>40 قطعة تقريبًا للمحطات CC0</x:v>
      </x:c>
      <x:c r="E22" s="28" t="str">
        <x:v>مباشر رسمي</x:v>
      </x:c>
      <x:c r="F22" s="28" t="str">
        <x:v>راجع رابط المصدر قبل النشر</x:v>
      </x:c>
    </x:row>
    <x:row r="23" ht="43" customHeight="1">
      <x:c r="A23" s="28" t="str">
        <x:v>S18</x:v>
      </x:c>
      <x:c r="B23" s="28" t="str">
        <x:v>NASA 2023 global winners</x:v>
      </x:c>
      <x:c r="C23" s="28" t="str">
        <x:v>https://www.spaceappschallenge.org/blog/the-nasa-space-apps-challenge-live-global-winners-announcement/</x:v>
      </x:c>
      <x:c r="D23" s="28" t="str">
        <x:v>LunarTech Ensemble: لعبة/موقع عن زلازل القمر فاز بجائزة العلوم</x:v>
      </x:c>
      <x:c r="E23" s="28" t="str">
        <x:v>مباشر رسمي</x:v>
      </x:c>
      <x:c r="F23" s="28" t="str">
        <x:v>راجع رابط المصدر قبل النشر</x:v>
      </x:c>
    </x:row>
    <x:row r="24" ht="43" customHeight="1">
      <x:c r="A24" s="28" t="str">
        <x:v>S19</x:v>
      </x:c>
      <x:c r="B24" s="28" t="str">
        <x:v>NASA 2025 winners</x:v>
      </x:c>
      <x:c r="C24" s="28" t="str">
        <x:v>https://www.spaceappschallenge.org/</x:v>
      </x:c>
      <x:c r="D24" s="28" t="str">
        <x:v>فريق Zumorroda-X وفوزه العالمي في 2025</x:v>
      </x:c>
      <x:c r="E24" s="28" t="str">
        <x:v>مباشر رسمي</x:v>
      </x:c>
      <x:c r="F24" s="28" t="str">
        <x:v>راجع رابط المصدر قبل النشر</x:v>
      </x:c>
    </x:row>
    <x:row r="25" ht="43" customHeight="1">
      <x:c r="A25" s="28" t="str">
        <x:v>S20</x:v>
      </x:c>
      <x:c r="B25" s="28" t="str">
        <x:v>2026 competitor AFTERTRACE</x:v>
      </x:c>
      <x:c r="C25" s="28" t="str">
        <x:v>https://www.spaceappschallenge.org/2026/find-a-team/aftertrace/</x:v>
      </x:c>
      <x:c r="D25" s="28" t="str">
        <x:v>وصف الفريق عن منصة تفاعلية مستوحاة من InSight؛ ليس دليلًا على منتج مكتمل</x:v>
      </x:c>
      <x:c r="E25" s="28" t="str">
        <x:v>مباشر رسمي</x:v>
      </x:c>
      <x:c r="F25" s="28" t="str">
        <x:v>راجع رابط المصدر قبل النشر</x:v>
      </x:c>
    </x:row>
    <x:row r="26" ht="43" customHeight="1">
      <x:c r="A26" s="28" t="str">
        <x:v>S21</x:v>
      </x:c>
      <x:c r="B26" s="28" t="str">
        <x:v>2026 competitor Forgotten Signal</x:v>
      </x:c>
      <x:c r="C26" s="28" t="str">
        <x:v>https://www.spaceappschallenge.org/2026/find-a-team/forgotten-signal/</x:v>
      </x:c>
      <x:c r="D26" s="28" t="str">
        <x:v>وصف فريق منافس للفئة نفسها</x:v>
      </x:c>
      <x:c r="E26" s="28" t="str">
        <x:v>مباشر رسمي</x:v>
      </x:c>
      <x:c r="F26" s="28" t="str">
        <x:v>راجع رابط المصدر قبل النشر</x:v>
      </x:c>
    </x:row>
    <x:row r="27" ht="43" customHeight="1">
      <x:c r="A27" s="28" t="str">
        <x:v>S22</x:v>
      </x:c>
      <x:c r="B27" s="28" t="str">
        <x:v>2026 competitor Big Bang Theory</x:v>
      </x:c>
      <x:c r="C27" s="28" t="str">
        <x:v>https://www.spaceappschallenge.org/2026/find-a-team/big-bang-theory/</x:v>
      </x:c>
      <x:c r="D27" s="28" t="str">
        <x:v>وصف فريق منافس للفئة نفسها</x:v>
      </x:c>
      <x:c r="E27" s="28" t="str">
        <x:v>مباشر رسمي</x:v>
      </x:c>
      <x:c r="F27" s="28" t="str">
        <x:v>راجع رابط المصدر قبل النشر</x:v>
      </x:c>
    </x:row>
    <x:row r="28" ht="43" customHeight="1">
      <x:c r="A28" s="28" t="str">
        <x:v>S23</x:v>
      </x:c>
      <x:c r="B28" s="28" t="str">
        <x:v>2026 competitor Astro Hunters</x:v>
      </x:c>
      <x:c r="C28" s="28" t="str">
        <x:v>https://www.spaceappschallenge.org/2026/find-a-team/astro-hunters-chasing-the-unknown-beyond-earth/</x:v>
      </x:c>
      <x:c r="D28" s="28" t="str">
        <x:v>وصف فريق منافس للفئة نفسها</x:v>
      </x:c>
      <x:c r="E28" s="28" t="str">
        <x:v>مباشر رسمي</x:v>
      </x:c>
      <x:c r="F28" s="28" t="str">
        <x:v>راجع رابط المصدر قبل النشر</x:v>
      </x:c>
    </x:row>
    <x:row r="29" ht="43" customHeight="1">
      <x:c r="A29" s="28" t="str">
        <x:v>S24</x:v>
      </x:c>
      <x:c r="B29" s="28" t="str">
        <x:v>2025 San Jose local scoring example</x:v>
      </x:c>
      <x:c r="C29" s="28" t="str">
        <x:v>https://www.spaceappschallenge.org/2025/local-events/san-jose/</x:v>
      </x:c>
      <x:c r="D29" s="28" t="str">
        <x:v>مثال أوزان لفعالية محلية قديمة؛ لا نعتمده وزنًا رسميًا 2026</x:v>
      </x:c>
      <x:c r="E29" s="28" t="str">
        <x:v>مباشر رسمي</x:v>
      </x:c>
      <x:c r="F29" s="28" t="str">
        <x:v>راجع رابط المصدر قبل النشر</x:v>
      </x:c>
    </x:row>
    <x:row r="30" ht="43" customHeight="1">
      <x:c r="A30" s="28" t="str">
        <x:v>S25</x:v>
      </x:c>
      <x:c r="B30" s="28" t="str">
        <x:v>NASA Opportunity dust-storm explainer</x:v>
      </x:c>
      <x:c r="C30" s="28" t="str">
        <x:v>https://science.nasa.gov/resource/science-comic-dust-storm-on-mars/</x:v>
      </x:c>
      <x:c r="D30" s="28" t="str">
        <x:v>تأثير الغبار في ضوء الشمس والطاقة الشمسية</x:v>
      </x:c>
      <x:c r="E30" s="28" t="str">
        <x:v>مباشر رسمي</x:v>
      </x:c>
      <x:c r="F30" s="28" t="str">
        <x:v>راجع رابط المصدر قبل النشر</x:v>
      </x:c>
    </x:row>
    <x:row r="31" ht="43" customHeight="1">
      <x:c r="A31" s="28" t="str">
        <x:v>S26</x:v>
      </x:c>
      <x:c r="B31" s="28" t="str">
        <x:v>2026 Oman Muscat event</x:v>
      </x:c>
      <x:c r="C31" s="28" t="str">
        <x:v>https://www.spaceappschallenge.org/2026/local-events/muscat/</x:v>
      </x:c>
      <x:c r="D31" s="28" t="str">
        <x:v>فعالية عُمان المحلية وتفاصيلها</x:v>
      </x:c>
      <x:c r="E31" s="28" t="str">
        <x:v>مباشر رسمي</x:v>
      </x:c>
      <x:c r="F31" s="28" t="str">
        <x:v>راجع رابط المصدر قبل النشر</x:v>
      </x:c>
    </x:row>
    <x:row r="32" ht="43" customHeight="1">
      <x:c r="A32" s="28" t="str">
        <x:v>S27</x:v>
      </x:c>
      <x:c r="B32" s="28" t="str">
        <x:v>NASA 2026 team challenge context</x:v>
      </x:c>
      <x:c r="C32" s="28" t="str">
        <x:v>https://www.spaceappschallenge.org/2026/find-a-team/odd-jobs/</x:v>
      </x:c>
      <x:c r="D32" s="28" t="str">
        <x:v>تعريف موضوع التحدي المنقول على صفحات الفرق</x:v>
      </x:c>
      <x:c r="E32" s="28" t="str">
        <x:v>مباشر رسمي</x:v>
      </x:c>
      <x:c r="F32" s="28" t="str">
        <x:v>راجع رابط المصدر قبل النشر</x:v>
      </x:c>
    </x:row>
    <x:row r="33" ht="43" customHeight="1">
      <x:c r="A33" s="28" t="str">
        <x:v>S28</x:v>
      </x:c>
      <x:c r="B33" s="28" t="str">
        <x:v>Previous research workbook (user-provided)</x:v>
      </x:c>
      <x:c r="C33" s="28" t="str">
        <x:v>NASA_Space_Apps_Deep_Research_AR_Expanded(1).xlsx</x:v>
      </x:c>
      <x:c r="D33" s="28" t="str">
        <x:v>بحث ألعاب وفائزين سابق موجود بالملفات المرفوعة؛ يحتاج فحص المصدر كلما استخدم</x:v>
      </x:c>
      <x:c r="E33" s="28" t="str">
        <x:v>ملف داخلي</x:v>
      </x:c>
      <x:c r="F33" s="28" t="str">
        <x:v>راجع رابط المصدر قبل النشر</x:v>
      </x:c>
    </x:row>
    <x:row r="34" ht="43" customHeight="1">
      <x:c r="A34" s="28" t="str">
        <x:v>S29</x:v>
      </x:c>
      <x:c r="B34" s="28" t="str">
        <x:v>Existing game artifact — SIGNALBREAK</x:v>
      </x:c>
      <x:c r="C34" s="28" t="str">
        <x:v>ECHOES_OF_SPACE_SIGNALBREAK/index.html</x:v>
      </x:c>
      <x:c r="D34" s="28" t="str">
        <x:v>ملف اللعبة الحالي للرجوع إلى وظائف موجودة؛ لا يمثل فحصًا شاملًا</x:v>
      </x:c>
      <x:c r="E34" s="28" t="str">
        <x:v>ملف داخلي</x:v>
      </x:c>
      <x:c r="F34" s="28" t="str">
        <x:v>راجع رابط المصدر قبل النشر</x:v>
      </x:c>
    </x:row>
    <x:row r="35" ht="43" customHeight="1">
      <x:c r="A35" s="28" t="str">
        <x:v>S30</x:v>
      </x:c>
      <x:c r="B35" s="28" t="str">
        <x:v>Existing game README — SIGNALBREAK</x:v>
      </x:c>
      <x:c r="C35" s="28" t="str">
        <x:v>ECHOES_OF_SPACE_SIGNALBREAK/README.md</x:v>
      </x:c>
      <x:c r="D35" s="28" t="str">
        <x:v>وصف الإصدار الحالي واختباراته وحدوده كما ورد في README</x:v>
      </x:c>
      <x:c r="E35" s="28" t="str">
        <x:v>ملف داخلي</x:v>
      </x:c>
      <x:c r="F35" s="28" t="str">
        <x:v>راجع رابط المصدر قبل النشر</x:v>
      </x:c>
    </x:row>
    <x:row r="36" ht="43" customHeight="1">
      <x:c r="A36" s="28" t="str">
        <x:v>S31</x:v>
      </x:c>
      <x:c r="B36" s="28" t="str">
        <x:v>2026 local competition prework FAQ</x:v>
      </x:c>
      <x:c r="C36" s="28" t="str">
        <x:v>https://www.spaceappschallenge.org/2026/local-events/rewari/</x:v>
      </x:c>
      <x:c r="D36" s="28" t="str">
        <x:v>التحضير ثم بدء التطوير أثناء الهاكاثون</x:v>
      </x:c>
      <x:c r="E36" s="28" t="str">
        <x:v>مباشر رسمي</x:v>
      </x:c>
      <x:c r="F36" s="28" t="str">
        <x:v>راجع رابط المصدر قبل النشر</x:v>
      </x:c>
    </x:row>
    <x:row r="37" ht="43" customHeight="1">
      <x:c r="A37" s="28" t="str">
        <x:v>S32</x:v>
      </x:c>
      <x:c r="B37" s="28" t="str">
        <x:v>NASA Apollo 15 NTRS summary</x:v>
      </x:c>
      <x:c r="C37" s="28" t="str">
        <x:v>https://ntrs.nasa.gov/citations/19720015165</x:v>
      </x:c>
      <x:c r="D37" s="28" t="str">
        <x:v>المسافة والتجارب وعينة توثيقية Apollo 15</x:v>
      </x:c>
      <x:c r="E37" s="28" t="str">
        <x:v>مباشر رسمي</x:v>
      </x:c>
      <x:c r="F37" s="28" t="str">
        <x:v>راجع رابط المصدر قبل النشر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63" hidden="0" customWidth="1"/>
    <x:col min="4" max="4" width="17" hidden="0" customWidth="1"/>
    <x:col min="5" max="5" width="16" hidden="0" customWidth="1"/>
    <x:col min="6" max="6" width="23" hidden="0" customWidth="1"/>
    <x:col min="7" max="7" width="83" hidden="0" customWidth="1"/>
    <x:col min="8" max="8" width="18" hidden="0" customWidth="1"/>
  </x:cols>
  <x:sheetData>
    <x:row r="1" ht="38" customHeight="1">
      <x:c r="A1" s="4" t="str">
        <x:v>مراجعة ذاتية</x:v>
      </x:c>
      <x:c r="B1" s="4"/>
      <x:c r="C1" s="4"/>
      <x:c r="D1" s="4"/>
      <x:c r="E1" s="4"/>
      <x:c r="F1" s="4"/>
      <x:c r="G1" s="4"/>
      <x:c r="H1" s="4"/>
    </x:row>
    <x:row r="2" ht="29" customHeight="1">
      <x:c r="A2" s="10" t="str">
        <x:v>أداة قرار داخلية بخمسة محاور. غيّر مستوى التقييم من 0 إلى 5 فقط بعد جمع أدلة؛ لا تقارنها بدرجات رسمية.</x:v>
      </x:c>
      <x:c r="B2" s="10"/>
      <x:c r="C2" s="10"/>
      <x:c r="D2" s="10"/>
      <x:c r="E2" s="10"/>
      <x:c r="F2" s="10"/>
      <x:c r="G2" s="10"/>
      <x:c r="H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  <x:c r="F3" s="15"/>
      <x:c r="G3" s="15"/>
      <x:c r="H3" s="15"/>
    </x:row>
    <x:row r="5" ht="34" customHeight="1">
      <x:c r="A5" s="21" t="str">
        <x:v>رقم</x:v>
      </x:c>
      <x:c r="B5" s="21" t="str">
        <x:v>المحور</x:v>
      </x:c>
      <x:c r="C5" s="21" t="str">
        <x:v>الدليل المراد</x:v>
      </x:c>
      <x:c r="D5" s="21" t="str">
        <x:v>وزن داخلي %</x:v>
      </x:c>
      <x:c r="E5" s="21" t="str">
        <x:v>تقييم 0–5</x:v>
      </x:c>
      <x:c r="F5" s="21" t="str">
        <x:v>مساهمة موزونة %</x:v>
      </x:c>
      <x:c r="G5" s="21" t="str">
        <x:v>تحذير</x:v>
      </x:c>
      <x:c r="H5" s="21" t="str">
        <x:v>محاور الربط</x:v>
      </x:c>
    </x:row>
    <x:row r="6" ht="43" customHeight="1">
      <x:c r="A6" s="28" t="n">
        <x:v>1</x:v>
      </x:c>
      <x:c r="B6" s="28" t="str">
        <x:v>الأثر Impact</x:v>
      </x:c>
      <x:c r="C6" s="28" t="str">
        <x:v>تحديد المشكلة، تجربة طلاب، نتائج تعلم</x:v>
      </x:c>
      <x:c r="D6" s="28" t="n">
        <x:v>20</x:v>
      </x:c>
      <x:c r="E6" s="28" t="n">
        <x:v>0</x:v>
      </x:c>
      <x:c r="F6" s="44" t="n">
        <x:f>D6*E6/5</x:f>
        <x:v>0</x:v>
      </x:c>
      <x:c r="G6" s="28" t="str">
        <x:v>النسبة متساوية هنا لغرض الإدارة فقط؛ ليست أوزان NASA الرسمية</x:v>
      </x:c>
      <x:c r="H6" s="28" t="str">
        <x:v>J01–J04</x:v>
      </x:c>
    </x:row>
    <x:row r="7" ht="43" customHeight="1">
      <x:c r="A7" s="28" t="n">
        <x:v>2</x:v>
      </x:c>
      <x:c r="B7" s="28" t="str">
        <x:v>الإبداع Creativity</x:v>
      </x:c>
      <x:c r="C7" s="28" t="str">
        <x:v>ألغاز تربط الدليل بالآلة وأفعال اللاعب</x:v>
      </x:c>
      <x:c r="D7" s="28" t="n">
        <x:v>20</x:v>
      </x:c>
      <x:c r="E7" s="28" t="n">
        <x:v>0</x:v>
      </x:c>
      <x:c r="F7" s="44" t="n">
        <x:f>D7*E7/5</x:f>
        <x:v>0</x:v>
      </x:c>
      <x:c r="G7" s="28" t="str">
        <x:v>النسبة متساوية هنا لغرض الإدارة فقط؛ ليست أوزان NASA الرسمية</x:v>
      </x:c>
      <x:c r="H7" s="28" t="str">
        <x:v>J05–J08</x:v>
      </x:c>
    </x:row>
    <x:row r="8" ht="43" customHeight="1">
      <x:c r="A8" s="28" t="n">
        <x:v>3</x:v>
      </x:c>
      <x:c r="B8" s="28" t="str">
        <x:v>الصحة Validity</x:v>
      </x:c>
      <x:c r="C8" s="28" t="str">
        <x:v>مصادر موثقة ووحدات محاكاة صحيحة</x:v>
      </x:c>
      <x:c r="D8" s="28" t="n">
        <x:v>20</x:v>
      </x:c>
      <x:c r="E8" s="28" t="n">
        <x:v>0</x:v>
      </x:c>
      <x:c r="F8" s="44" t="n">
        <x:f>D8*E8/5</x:f>
        <x:v>0</x:v>
      </x:c>
      <x:c r="G8" s="28" t="str">
        <x:v>النسبة متساوية هنا لغرض الإدارة فقط؛ ليست أوزان NASA الرسمية</x:v>
      </x:c>
      <x:c r="H8" s="28" t="str">
        <x:v>J09–J12</x:v>
      </x:c>
    </x:row>
    <x:row r="9" ht="43" customHeight="1">
      <x:c r="A9" s="28" t="n">
        <x:v>4</x:v>
      </x:c>
      <x:c r="B9" s="28" t="str">
        <x:v>الملاءمة Relevance</x:v>
      </x:c>
      <x:c r="C9" s="28" t="str">
        <x:v>حل التحدي/اكتمال اللعبة/عمر المستخدم</x:v>
      </x:c>
      <x:c r="D9" s="28" t="n">
        <x:v>20</x:v>
      </x:c>
      <x:c r="E9" s="28" t="n">
        <x:v>0</x:v>
      </x:c>
      <x:c r="F9" s="44" t="n">
        <x:f>D9*E9/5</x:f>
        <x:v>0</x:v>
      </x:c>
      <x:c r="G9" s="28" t="str">
        <x:v>النسبة متساوية هنا لغرض الإدارة فقط؛ ليست أوزان NASA الرسمية</x:v>
      </x:c>
      <x:c r="H9" s="28" t="str">
        <x:v>J13–J16</x:v>
      </x:c>
    </x:row>
    <x:row r="10" ht="43" customHeight="1">
      <x:c r="A10" s="28" t="n">
        <x:v>5</x:v>
      </x:c>
      <x:c r="B10" s="28" t="str">
        <x:v>العرض Presentation</x:v>
      </x:c>
      <x:c r="C10" s="28" t="str">
        <x:v>ديمو حي وحكاية واضحة وأسئلة صعبة</x:v>
      </x:c>
      <x:c r="D10" s="28" t="n">
        <x:v>20</x:v>
      </x:c>
      <x:c r="E10" s="28" t="n">
        <x:v>0</x:v>
      </x:c>
      <x:c r="F10" s="44" t="n">
        <x:f>D10*E10/5</x:f>
        <x:v>0</x:v>
      </x:c>
      <x:c r="G10" s="28" t="str">
        <x:v>النسبة متساوية هنا لغرض الإدارة فقط؛ ليست أوزان NASA الرسمية</x:v>
      </x:c>
      <x:c r="H10" s="28" t="str">
        <x:v>J17–J20</x:v>
      </x:c>
    </x:row>
    <x:row r="11">
      <x:c r="F11" s="45"/>
    </x:row>
    <x:row r="12">
      <x:c r="A12" t="str">
        <x:v>المجموع الداخلي %</x:v>
      </x:c>
      <x:c r="F12" s="45" t="n">
        <x:f>SUM(F6:F10)</x:f>
        <x:v>0</x:v>
      </x:c>
    </x:row>
    <x:row r="13">
      <x:c r="A13" t="str">
        <x:v>تنبيه</x:v>
      </x:c>
      <x:c r="C13" t="str">
        <x:v>0 يعني لم نقم بالتقييم وليس أن المشروع حصل على صفر من المحكمين.</x:v>
      </x:c>
    </x:row>
    <x:row r="14">
      <x:c r="A14" t="str">
        <x:v>قاعدة القرار</x:v>
      </x:c>
      <x:c r="C14" t="str">
        <x:v>التقييم الذاتي لا يلغي RG01 (الأهلية) ولا متطلبات التسليم الرسمية.</x:v>
      </x:c>
    </x:row>
  </x:sheetData>
  <x:mergeCells>
    <x:mergeCell ref="A1:H1"/>
    <x:mergeCell ref="A2:H2"/>
    <x:mergeCell ref="A3:H3"/>
  </x:mergeCells>
  <x:dataValidations count="1">
    <x:dataValidation type="list" sqref="E6:E10">
      <x:formula1>"0,1,2,3,4,5"</x:formula1>
    </x:dataValidation>
  </x:dataValidation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87" hidden="0" customWidth="1"/>
    <x:col min="4" max="4" width="21" hidden="0" customWidth="1"/>
    <x:col min="5" max="5" width="81" hidden="0" customWidth="1"/>
  </x:cols>
  <x:sheetData>
    <x:row r="1" ht="38" customHeight="1">
      <x:c r="A1" s="4" t="str">
        <x:v>فهرس المصنف</x:v>
      </x:c>
      <x:c r="B1" s="4"/>
      <x:c r="C1" s="4"/>
      <x:c r="D1" s="4"/>
      <x:c r="E1" s="4"/>
    </x:row>
    <x:row r="2" ht="29" customHeight="1">
      <x:c r="A2" s="10" t="str">
        <x:v>دليل الوصول إلى كل ورقة: أهم أربع أولًا الملخص، التحدي، الأهلية، قرار الإطلاق</x:v>
      </x:c>
      <x:c r="B2" s="10"/>
      <x:c r="C2" s="10"/>
      <x:c r="D2" s="10"/>
      <x:c r="E2" s="10"/>
    </x:row>
    <x:row r="3" ht="21" customHeight="1">
      <x:c r="A3" s="15" t="str">
        <x:v>ECHOES OF SPACE  |  GENESIS V • MASTER GAME BIBLE  |  2026-10-27  |  وثيقة تصميم / قرار / تتبّع، وليست شهادة قبول</x:v>
      </x:c>
      <x:c r="B3" s="15"/>
      <x:c r="C3" s="15"/>
      <x:c r="D3" s="15"/>
      <x:c r="E3" s="15"/>
    </x:row>
    <x:row r="5" ht="34" customHeight="1">
      <x:c r="A5" s="21" t="str">
        <x:v>#</x:v>
      </x:c>
      <x:c r="B5" s="21" t="str">
        <x:v>اسم الورقة</x:v>
      </x:c>
      <x:c r="C5" s="21" t="str">
        <x:v>ماذا أجد فيها</x:v>
      </x:c>
      <x:c r="D5" s="21" t="str">
        <x:v>عدد العناصر</x:v>
      </x:c>
      <x:c r="E5" s="21" t="str">
        <x:v>طريقة الاستخدام</x:v>
      </x:c>
    </x:row>
    <x:row r="6" ht="43" customHeight="1">
      <x:c r="A6" s="28" t="n">
        <x:v>1</x:v>
      </x:c>
      <x:c r="B6" s="28" t="str">
        <x:v>ملخص تنفيذي</x:v>
      </x:c>
      <x:c r="C6" s="28" t="str">
        <x:v>الصورة الكاملة في صفحة واحدة: القيمة، الحدود، الجاهزية، والخطر التنظيمي</x:v>
      </x:c>
      <x:c r="D6" s="28" t="n">
        <x:v>22</x:v>
      </x:c>
      <x:c r="E6" s="28" t="str">
        <x:v>افتح الورقة وفلتر الصفوف؛ عدّل الحالة عند وجود دليل فقط</x:v>
      </x:c>
    </x:row>
    <x:row r="7" ht="43" customHeight="1">
      <x:c r="A7" s="28" t="n">
        <x:v>2</x:v>
      </x:c>
      <x:c r="B7" s="28" t="str">
        <x:v>التحدي والمتطلبات</x:v>
      </x:c>
      <x:c r="C7" s="28" t="str">
        <x:v>صياغة التحدي وشروط المسابقة المثبتة والمخاطر التي تستلزم ردًا رسميًا</x:v>
      </x:c>
      <x:c r="D7" s="28" t="n">
        <x:v>15</x:v>
      </x:c>
      <x:c r="E7" s="28" t="str">
        <x:v>افتح الورقة وفلتر الصفوف؛ عدّل الحالة عند وجود دليل فقط</x:v>
      </x:c>
    </x:row>
    <x:row r="8" ht="43" customHeight="1">
      <x:c r="A8" s="28" t="n">
        <x:v>3</x:v>
      </x:c>
      <x:c r="B8" s="28" t="str">
        <x:v>الأهلية والتنظيم</x:v>
      </x:c>
      <x:c r="C8" s="28" t="str">
        <x:v>بوابة حاكمة: لا تُستخدم النسخ القديمة على أنها مبنية أثناء الهاكاثون دون توضيح رسمي</x:v>
      </x:c>
      <x:c r="D8" s="28" t="n">
        <x:v>15</x:v>
      </x:c>
      <x:c r="E8" s="28" t="str">
        <x:v>افتح الورقة وفلتر الصفوف؛ عدّل الحالة عند وجود دليل فقط</x:v>
      </x:c>
    </x:row>
    <x:row r="9" ht="43" customHeight="1">
      <x:c r="A9" s="28" t="n">
        <x:v>4</x:v>
      </x:c>
      <x:c r="B9" s="28" t="str">
        <x:v>رؤية اللعبة</x:v>
      </x:c>
      <x:c r="C9" s="28" t="str">
        <x:v>قواعد المنتج غير القابلة للتنازل: لعبة قصصية علمية قابلة للتشغيل، لا مقالة تفاعلية</x:v>
      </x:c>
      <x:c r="D9" s="28" t="n">
        <x:v>27</x:v>
      </x:c>
      <x:c r="E9" s="28" t="str">
        <x:v>افتح الورقة وفلتر الصفوف؛ عدّل الحالة عند وجود دليل فقط</x:v>
      </x:c>
    </x:row>
    <x:row r="10" ht="43" customHeight="1">
      <x:c r="A10" s="28" t="n">
        <x:v>5</x:v>
      </x:c>
      <x:c r="B10" s="28" t="str">
        <x:v>العالم والشخصيات</x:v>
      </x:c>
      <x:c r="C10" s="28" t="str">
        <x:v>القصة، الحقيقة والخيال، رسائل ECHO، وما يحدث بالفعل عند كل منعطف</x:v>
      </x:c>
      <x:c r="D10" s="28" t="n">
        <x:v>17</x:v>
      </x:c>
      <x:c r="E10" s="28" t="str">
        <x:v>افتح الورقة وفلتر الصفوف؛ عدّل الحالة عند وجود دليل فقط</x:v>
      </x:c>
    </x:row>
    <x:row r="11" ht="43" customHeight="1">
      <x:c r="A11" s="28" t="n">
        <x:v>6</x:v>
      </x:c>
      <x:c r="B11" s="28" t="str">
        <x:v>رحلة اللاعب</x:v>
      </x:c>
      <x:c r="C11" s="28" t="str">
        <x:v>رحلة تجربة مقترحة لا أزمنة مثبتة؛ اختبار السرعة والفهم والمتعة مطلوب</x:v>
      </x:c>
      <x:c r="D11" s="28" t="n">
        <x:v>16</x:v>
      </x:c>
      <x:c r="E11" s="28" t="str">
        <x:v>افتح الورقة وفلتر الصفوف؛ عدّل الحالة عند وجود دليل فقط</x:v>
      </x:c>
    </x:row>
    <x:row r="12" ht="43" customHeight="1">
      <x:c r="A12" s="28" t="n">
        <x:v>7</x:v>
      </x:c>
      <x:c r="B12" s="28" t="str">
        <x:v>خارطة المراحل</x:v>
      </x:c>
      <x:c r="C12" s="28" t="str">
        <x:v>العلاقة المباشرة بين المتطلبات وآلية اللعب؛ لا توجد مراحل افتراضية موهمة بأنها مكتملة</x:v>
      </x:c>
      <x:c r="D12" s="28" t="n">
        <x:v>24</x:v>
      </x:c>
      <x:c r="E12" s="28" t="str">
        <x:v>افتح الورقة وفلتر الصفوف؛ عدّل الحالة عند وجود دليل فقط</x:v>
      </x:c>
    </x:row>
    <x:row r="13" ht="43" customHeight="1">
      <x:c r="A13" s="28" t="n">
        <x:v>8</x:v>
      </x:c>
      <x:c r="B13" s="28" t="str">
        <x:v>الألغاز</x:v>
      </x:c>
      <x:c r="C13" s="28" t="str">
        <x:v>35 آلية لغز: المدخلات، ما يجعلها ممتعة، شرط إكمالها، مفهومها التعليمي، والحالة الواقعية</x:v>
      </x:c>
      <x:c r="D13" s="28" t="n">
        <x:v>35</x:v>
      </x:c>
      <x:c r="E13" s="28" t="str">
        <x:v>افتح الورقة وفلتر الصفوف؛ عدّل الحالة عند وجود دليل فقط</x:v>
      </x:c>
    </x:row>
    <x:row r="14" ht="43" customHeight="1">
      <x:c r="A14" s="28" t="n">
        <x:v>9</x:v>
      </x:c>
      <x:c r="B14" s="28" t="str">
        <x:v>العلاقات والشروط</x:v>
      </x:c>
      <x:c r="C14" s="28" t="str">
        <x:v>قائمة متى يفتح كل قفل، ولماذا، وما الذي يمنع تخطي اللعبة أو توقفها</x:v>
      </x:c>
      <x:c r="D14" s="28" t="n">
        <x:v>52</x:v>
      </x:c>
      <x:c r="E14" s="28" t="str">
        <x:v>افتح الورقة وفلتر الصفوف؛ عدّل الحالة عند وجود دليل فقط</x:v>
      </x:c>
    </x:row>
    <x:row r="15" ht="43" customHeight="1">
      <x:c r="A15" s="28" t="n">
        <x:v>10</x:v>
      </x:c>
      <x:c r="B15" s="28" t="str">
        <x:v>الأدلة والمقتنيات</x:v>
      </x:c>
      <x:c r="C15" s="28" t="str">
        <x:v>سجل الأصول العلمية ومواقع الجمع، أين تصرف، وما هو واقعي مقابل خيالي</x:v>
      </x:c>
      <x:c r="D15" s="28" t="n">
        <x:v>36</x:v>
      </x:c>
      <x:c r="E15" s="28" t="str">
        <x:v>افتح الورقة وفلتر الصفوف؛ عدّل الحالة عند وجود دليل فقط</x:v>
      </x:c>
    </x:row>
    <x:row r="16" ht="43" customHeight="1">
      <x:c r="A16" s="28" t="n">
        <x:v>11</x:v>
      </x:c>
      <x:c r="B16" s="28" t="str">
        <x:v>النقاط والمكافآت</x:v>
      </x:c>
      <x:c r="C16" s="28" t="str">
        <x:v>اقتصاد XP مقترح قابل للضبط؛ الأرقام هنا قواعد تصميم وليست معيار تحكيم NASA</x:v>
      </x:c>
      <x:c r="D16" s="28" t="n">
        <x:v>20</x:v>
      </x:c>
      <x:c r="E16" s="28" t="str">
        <x:v>افتح الورقة وفلتر الصفوف؛ عدّل الحالة عند وجود دليل فقط</x:v>
      </x:c>
    </x:row>
    <x:row r="17" ht="43" customHeight="1">
      <x:c r="A17" s="28" t="n">
        <x:v>12</x:v>
      </x:c>
      <x:c r="B17" s="28" t="str">
        <x:v>تفصيل مهمة القمر</x:v>
      </x:c>
      <x:c r="C17" s="28" t="str">
        <x:v>30 حدثًا مرتبًا في Apollo 15: فعل المستخدم ↔ حالة اللعبة ↔ برهان الفهم</x:v>
      </x:c>
      <x:c r="D17" s="28" t="n">
        <x:v>30</x:v>
      </x:c>
      <x:c r="E17" s="28" t="str">
        <x:v>افتح الورقة وفلتر الصفوف؛ عدّل الحالة عند وجود دليل فقط</x:v>
      </x:c>
    </x:row>
    <x:row r="18" ht="43" customHeight="1">
      <x:c r="A18" s="28" t="n">
        <x:v>13</x:v>
      </x:c>
      <x:c r="B18" s="28" t="str">
        <x:v>تفصيل مهمة المريخ</x:v>
      </x:c>
      <x:c r="C18" s="28" t="str">
        <x:v>قصة Opportunity في 4 أيام تعليمية افتراضية، لا تحاكي اللحظات الأخيرة حرفيًا</x:v>
      </x:c>
      <x:c r="D18" s="28" t="n">
        <x:v>20</x:v>
      </x:c>
      <x:c r="E18" s="28" t="str">
        <x:v>افتح الورقة وفلتر الصفوف؛ عدّل الحالة عند وجود دليل فقط</x:v>
      </x:c>
    </x:row>
    <x:row r="19" ht="43" customHeight="1">
      <x:c r="A19" s="28" t="n">
        <x:v>14</x:v>
      </x:c>
      <x:c r="B19" s="28" t="str">
        <x:v>التوسعات</x:v>
      </x:c>
      <x:c r="C19" s="28" t="str">
        <x:v>أفكار مستقبلية ليست جزءًا من تسليم 2026؛ لا تستهلك طاقة الفريق قبل بوابة الإنجاز</x:v>
      </x:c>
      <x:c r="D19" s="28" t="n">
        <x:v>30</x:v>
      </x:c>
      <x:c r="E19" s="28" t="str">
        <x:v>افتح الورقة وفلتر الصفوف؛ عدّل الحالة عند وجود دليل فقط</x:v>
      </x:c>
    </x:row>
    <x:row r="20" ht="43" customHeight="1">
      <x:c r="A20" s="28" t="n">
        <x:v>15</x:v>
      </x:c>
      <x:c r="B20" s="28" t="str">
        <x:v>العوالم والخرائط</x:v>
      </x:c>
      <x:c r="C20" s="28" t="str">
        <x:v>تصميم كل موقع وكيف يضيف فعلًا أو لغزًا بدل أن يكون ديكورًا</x:v>
      </x:c>
      <x:c r="D20" s="28" t="n">
        <x:v>25</x:v>
      </x:c>
      <x:c r="E20" s="28" t="str">
        <x:v>افتح الورقة وفلتر الصفوف؛ عدّل الحالة عند وجود دليل فقط</x:v>
      </x:c>
    </x:row>
    <x:row r="21" ht="43" customHeight="1">
      <x:c r="A21" s="28" t="n">
        <x:v>16</x:v>
      </x:c>
      <x:c r="B21" s="28" t="str">
        <x:v>التعلم وقياس الأثر</x:v>
      </x:c>
      <x:c r="C21" s="28" t="str">
        <x:v>نحو تعليم يمكن قياسه؛ لا توجد بيانات تعليم فعلي قبل إجراء تجربة مستخدم</x:v>
      </x:c>
      <x:c r="D21" s="28" t="n">
        <x:v>20</x:v>
      </x:c>
      <x:c r="E21" s="28" t="str">
        <x:v>افتح الورقة وفلتر الصفوف؛ عدّل الحالة عند وجود دليل فقط</x:v>
      </x:c>
    </x:row>
    <x:row r="22" ht="43" customHeight="1">
      <x:c r="A22" s="28" t="n">
        <x:v>17</x:v>
      </x:c>
      <x:c r="B22" s="28" t="str">
        <x:v>الأدلة العلمية</x:v>
      </x:c>
      <x:c r="C22" s="28" t="str">
        <x:v>كل ادعاء تاريخي أو معادلة أو افتراض أو خيال مصنف مع المصدر، وحدود الادعاء</x:v>
      </x:c>
      <x:c r="D22" s="28" t="n">
        <x:v>24</x:v>
      </x:c>
      <x:c r="E22" s="28" t="str">
        <x:v>افتح الورقة وفلتر الصفوف؛ عدّل الحالة عند وجود دليل فقط</x:v>
      </x:c>
    </x:row>
    <x:row r="23" ht="43" customHeight="1">
      <x:c r="A23" s="28" t="n">
        <x:v>18</x:v>
      </x:c>
      <x:c r="B23" s="28" t="str">
        <x:v>النماذج والمعادلات</x:v>
      </x:c>
      <x:c r="C23" s="28" t="str">
        <x:v>وحدات وافتراضات كل حساب؛ تنبيه: النماذج التعليمية ليست محاكاة فيزيائية معتمدة</x:v>
      </x:c>
      <x:c r="D23" s="28" t="n">
        <x:v>20</x:v>
      </x:c>
      <x:c r="E23" s="28" t="str">
        <x:v>افتح الورقة وفلتر الصفوف؛ عدّل الحالة عند وجود دليل فقط</x:v>
      </x:c>
    </x:row>
    <x:row r="24" ht="43" customHeight="1">
      <x:c r="A24" s="28" t="n">
        <x:v>19</x:v>
      </x:c>
      <x:c r="B24" s="28" t="str">
        <x:v>تجربة المستخدم</x:v>
      </x:c>
      <x:c r="C24" s="28" t="str">
        <x:v>قائمة تصميم واجهات وتفاعلات قابلة للقياس وليست أوصافًا عامة</x:v>
      </x:c>
      <x:c r="D24" s="28" t="n">
        <x:v>30</x:v>
      </x:c>
      <x:c r="E24" s="28" t="str">
        <x:v>افتح الورقة وفلتر الصفوف؛ عدّل الحالة عند وجود دليل فقط</x:v>
      </x:c>
    </x:row>
    <x:row r="25" ht="43" customHeight="1">
      <x:c r="A25" s="28" t="n">
        <x:v>20</x:v>
      </x:c>
      <x:c r="B25" s="28" t="str">
        <x:v>الهندسة التقنية</x:v>
      </x:c>
      <x:c r="C25" s="28" t="str">
        <x:v>معمارية موجودة مقابل تقنيات المستقبل؛ لا ندعي أن 3D مطبّق حاليًا</x:v>
      </x:c>
      <x:c r="D25" s="28" t="n">
        <x:v>36</x:v>
      </x:c>
      <x:c r="E25" s="28" t="str">
        <x:v>افتح الورقة وفلتر الصفوف؛ عدّل الحالة عند وجود دليل فقط</x:v>
      </x:c>
    </x:row>
    <x:row r="26" ht="43" customHeight="1">
      <x:c r="A26" s="28" t="n">
        <x:v>21</x:v>
      </x:c>
      <x:c r="B26" s="28" t="str">
        <x:v>خطة التنفيذ</x:v>
      </x:c>
      <x:c r="C26" s="28" t="str">
        <x:v>Backlog حي: كل مهمة لها مخرجات ومعيار قبول ومسؤول افتراضي؛ لا يدّعي أنه جدول منجز</x:v>
      </x:c>
      <x:c r="D26" s="28" t="n">
        <x:v>98</x:v>
      </x:c>
      <x:c r="E26" s="28" t="str">
        <x:v>افتح الورقة وفلتر الصفوف؛ عدّل الحالة عند وجود دليل فقط</x:v>
      </x:c>
    </x:row>
    <x:row r="27" ht="43" customHeight="1">
      <x:c r="A27" s="28" t="n">
        <x:v>22</x:v>
      </x:c>
      <x:c r="B27" s="28" t="str">
        <x:v>فريق الستة</x:v>
      </x:c>
      <x:c r="C27" s="28" t="str">
        <x:v>ستة أدوار مقترحة لا تمثل توظيفًا فعليًا، مع تفويض ونتائج لا واجبات مبهمة</x:v>
      </x:c>
      <x:c r="D27" s="28" t="n">
        <x:v>24</x:v>
      </x:c>
      <x:c r="E27" s="28" t="str">
        <x:v>افتح الورقة وفلتر الصفوف؛ عدّل الحالة عند وجود دليل فقط</x:v>
      </x:c>
    </x:row>
    <x:row r="28" ht="43" customHeight="1">
      <x:c r="A28" s="28" t="n">
        <x:v>23</x:v>
      </x:c>
      <x:c r="B28" s="28" t="str">
        <x:v>الاختبارات</x:v>
      </x:c>
      <x:c r="C28" s="28" t="str">
        <x:v>اختبار قبول قابل للتعبئة؛ لا تعتبر أي حالة ناجحة حتى يتم تنفيذها ورصد النتيجة</x:v>
      </x:c>
      <x:c r="D28" s="28" t="n">
        <x:v>54</x:v>
      </x:c>
      <x:c r="E28" s="28" t="str">
        <x:v>افتح الورقة وفلتر الصفوف؛ عدّل الحالة عند وجود دليل فقط</x:v>
      </x:c>
    </x:row>
    <x:row r="29" ht="43" customHeight="1">
      <x:c r="A29" s="28" t="n">
        <x:v>24</x:v>
      </x:c>
      <x:c r="B29" s="28" t="str">
        <x:v>المخاطر</x:v>
      </x:c>
      <x:c r="C29" s="28" t="str">
        <x:v>30 خطرًا مع احتمالية وأثر تقديريين قابلين للتحرير؛ ليست احتمالات علمية موثقة</x:v>
      </x:c>
      <x:c r="D29" s="28" t="n">
        <x:v>30</x:v>
      </x:c>
      <x:c r="E29" s="28" t="str">
        <x:v>افتح الورقة وفلتر الصفوف؛ عدّل الحالة عند وجود دليل فقط</x:v>
      </x:c>
    </x:row>
    <x:row r="30" ht="43" customHeight="1">
      <x:c r="A30" s="28" t="n">
        <x:v>25</x:v>
      </x:c>
      <x:c r="B30" s="28" t="str">
        <x:v>التحكيم</x:v>
      </x:c>
      <x:c r="C30" s="28" t="str">
        <x:v>معايير Impact/Creativity/Validity/Relevance/Presentation وردت في صفحة محلية 2026؛ لا أوزان عالمية مؤكدة</x:v>
      </x:c>
      <x:c r="D30" s="28" t="n">
        <x:v>25</x:v>
      </x:c>
      <x:c r="E30" s="28" t="str">
        <x:v>افتح الورقة وفلتر الصفوف؛ عدّل الحالة عند وجود دليل فقط</x:v>
      </x:c>
    </x:row>
    <x:row r="31" ht="43" customHeight="1">
      <x:c r="A31" s="28" t="n">
        <x:v>26</x:v>
      </x:c>
      <x:c r="B31" s="28" t="str">
        <x:v>المنافسون والمقارنات</x:v>
      </x:c>
      <x:c r="C31" s="28" t="str">
        <x:v>تفريق صارم بين فائزين موثقين وفِرق أعلنت وصفًا فقط وألعاب تجارية للإلهام</x:v>
      </x:c>
      <x:c r="D31" s="28" t="n">
        <x:v>12</x:v>
      </x:c>
      <x:c r="E31" s="28" t="str">
        <x:v>افتح الورقة وفلتر الصفوف؛ عدّل الحالة عند وجود دليل فقط</x:v>
      </x:c>
    </x:row>
    <x:row r="32" ht="43" customHeight="1">
      <x:c r="A32" s="28" t="n">
        <x:v>27</x:v>
      </x:c>
      <x:c r="B32" s="28" t="str">
        <x:v>مرجع 35 لعبة</x:v>
      </x:c>
      <x:c r="C32" s="28" t="str">
        <x:v>نقل انتقائي من ملف بحث سابق موجود في ملفات المحادثة؛ لا يعني أننا تحققنا من جميع بياناته بشكل مستقل</x:v>
      </x:c>
      <x:c r="D32" s="28" t="n">
        <x:v>35</x:v>
      </x:c>
      <x:c r="E32" s="28" t="str">
        <x:v>افتح الورقة وفلتر الصفوف؛ عدّل الحالة عند وجود دليل فقط</x:v>
      </x:c>
    </x:row>
    <x:row r="33" ht="43" customHeight="1">
      <x:c r="A33" s="28" t="n">
        <x:v>28</x:v>
      </x:c>
      <x:c r="B33" s="28" t="str">
        <x:v>الأصول والتراخيص</x:v>
      </x:c>
      <x:c r="C33" s="28" t="str">
        <x:v>مصدر كل أصل وحقوقه وحالة دخوله؛ لا نستخدم أصول لعبة تجارية بلا حق</x:v>
      </x:c>
      <x:c r="D33" s="28" t="n">
        <x:v>21</x:v>
      </x:c>
      <x:c r="E33" s="28" t="str">
        <x:v>افتح الورقة وفلتر الصفوف؛ عدّل الحالة عند وجود دليل فقط</x:v>
      </x:c>
    </x:row>
    <x:row r="34" ht="43" customHeight="1">
      <x:c r="A34" s="28" t="n">
        <x:v>29</x:v>
      </x:c>
      <x:c r="B34" s="28" t="str">
        <x:v>ميزانية افتراضية</x:v>
      </x:c>
      <x:c r="C34" s="28" t="str">
        <x:v>نموذج مالي افتراضي بالريال العماني: غيّر العدد والساعات/الوحدة والسعر، يتحدث الإجمالي تلقائيًا؛ ليس إنفاقًا فعليًا</x:v>
      </x:c>
      <x:c r="D34" s="28" t="n">
        <x:v>12</x:v>
      </x:c>
      <x:c r="E34" s="28" t="str">
        <x:v>افتح الورقة وفلتر الصفوف؛ عدّل الحالة عند وجود دليل فقط</x:v>
      </x:c>
    </x:row>
    <x:row r="35" ht="43" customHeight="1">
      <x:c r="A35" s="28" t="n">
        <x:v>30</x:v>
      </x:c>
      <x:c r="B35" s="28" t="str">
        <x:v>عرض 5 دقائق</x:v>
      </x:c>
      <x:c r="C35" s="28" t="str">
        <x:v>Storyboard لخمس دقائق فعليًا؛ يجب تسجيل لعبة حقيقية مع مصدر كل حقيقة</x:v>
      </x:c>
      <x:c r="D35" s="28" t="n">
        <x:v>11</x:v>
      </x:c>
      <x:c r="E35" s="28" t="str">
        <x:v>افتح الورقة وفلتر الصفوف؛ عدّل الحالة عند وجود دليل فقط</x:v>
      </x:c>
    </x:row>
    <x:row r="36" ht="43" customHeight="1">
      <x:c r="A36" s="28" t="n">
        <x:v>31</x:v>
      </x:c>
      <x:c r="B36" s="28" t="str">
        <x:v>أسئلة المحكمين</x:v>
      </x:c>
      <x:c r="C36" s="28" t="str">
        <x:v>إجابات دقيقة تحمي الفريق من المبالغة عند عرض المشروع</x:v>
      </x:c>
      <x:c r="D36" s="28" t="n">
        <x:v>26</x:v>
      </x:c>
      <x:c r="E36" s="28" t="str">
        <x:v>افتح الورقة وفلتر الصفوف؛ عدّل الحالة عند وجود دليل فقط</x:v>
      </x:c>
    </x:row>
    <x:row r="37" ht="43" customHeight="1">
      <x:c r="A37" s="28" t="n">
        <x:v>32</x:v>
      </x:c>
      <x:c r="B37" s="28" t="str">
        <x:v>متطلبات التسليم</x:v>
      </x:c>
      <x:c r="C37" s="28" t="str">
        <x:v>Checklist للمشاركة؛ لا تعني وجود جميع مستندات 2026 النهائية، راجع الحقول عند فتح بوابة التسليم</x:v>
      </x:c>
      <x:c r="D37" s="28" t="n">
        <x:v>20</x:v>
      </x:c>
      <x:c r="E37" s="28" t="str">
        <x:v>افتح الورقة وفلتر الصفوف؛ عدّل الحالة عند وجود دليل فقط</x:v>
      </x:c>
    </x:row>
    <x:row r="38" ht="43" customHeight="1">
      <x:c r="A38" s="28" t="n">
        <x:v>33</x:v>
      </x:c>
      <x:c r="B38" s="28" t="str">
        <x:v>القاموس والتوطين</x:v>
      </x:c>
      <x:c r="C38" s="28" t="str">
        <x:v>قاموس عربي/إنجليزي لتوحيد واجهات اللعبة أمام الطلاب والمحكمين</x:v>
      </x:c>
      <x:c r="D38" s="28" t="n">
        <x:v>42</x:v>
      </x:c>
      <x:c r="E38" s="28" t="str">
        <x:v>افتح الورقة وفلتر الصفوف؛ عدّل الحالة عند وجود دليل فقط</x:v>
      </x:c>
    </x:row>
    <x:row r="39" ht="43" customHeight="1">
      <x:c r="A39" s="28" t="n">
        <x:v>34</x:v>
      </x:c>
      <x:c r="B39" s="28" t="str">
        <x:v>المقاييس والتجارب</x:v>
      </x:c>
      <x:c r="C39" s="28" t="str">
        <x:v>مؤشرات أثر/متعة/جودة مستهدفة؛ لا توجد نتائج مستخدمين مثبتة داخل الملف</x:v>
      </x:c>
      <x:c r="D39" s="28" t="n">
        <x:v>20</x:v>
      </x:c>
      <x:c r="E39" s="28" t="str">
        <x:v>افتح الورقة وفلتر الصفوف؛ عدّل الحالة عند وجود دليل فقط</x:v>
      </x:c>
    </x:row>
    <x:row r="40" ht="43" customHeight="1">
      <x:c r="A40" s="28" t="n">
        <x:v>35</x:v>
      </x:c>
      <x:c r="B40" s="28" t="str">
        <x:v>خطة اختبار اللاعبين</x:v>
      </x:c>
      <x:c r="C40" s="28" t="str">
        <x:v>نموذج بروتوكول تقييم متعة وفهم؛ ليس دليلًا على إجراء اختبارات حالية</x:v>
      </x:c>
      <x:c r="D40" s="28" t="n">
        <x:v>32</x:v>
      </x:c>
      <x:c r="E40" s="28" t="str">
        <x:v>افتح الورقة وفلتر الصفوف؛ عدّل الحالة عند وجود دليل فقط</x:v>
      </x:c>
    </x:row>
    <x:row r="41" ht="43" customHeight="1">
      <x:c r="A41" s="28" t="n">
        <x:v>36</x:v>
      </x:c>
      <x:c r="B41" s="28" t="str">
        <x:v>خارطة المستقبل</x:v>
      </x:c>
      <x:c r="C41" s="28" t="str">
        <x:v>خطة تطوير متعددة الآفاق؛ 2026 = نموذج قانوني ومقنع لا لعبة AAA زائفة</x:v>
      </x:c>
      <x:c r="D41" s="28" t="n">
        <x:v>15</x:v>
      </x:c>
      <x:c r="E41" s="28" t="str">
        <x:v>افتح الورقة وفلتر الصفوف؛ عدّل الحالة عند وجود دليل فقط</x:v>
      </x:c>
    </x:row>
    <x:row r="42" ht="43" customHeight="1">
      <x:c r="A42" s="28" t="n">
        <x:v>37</x:v>
      </x:c>
      <x:c r="B42" s="28" t="str">
        <x:v>ما أُنجز فعليًا</x:v>
      </x:c>
      <x:c r="C42" s="28" t="str">
        <x:v>إفصاح شفاف عن Genesis IV وماذا لا يوجد؛ حالات النسخة من ملفات المشروع لا من اعتماد خارجي</x:v>
      </x:c>
      <x:c r="D42" s="28" t="n">
        <x:v>20</x:v>
      </x:c>
      <x:c r="E42" s="28" t="str">
        <x:v>افتح الورقة وفلتر الصفوف؛ عدّل الحالة عند وجود دليل فقط</x:v>
      </x:c>
    </x:row>
    <x:row r="43" ht="43" customHeight="1">
      <x:c r="A43" s="28" t="n">
        <x:v>38</x:v>
      </x:c>
      <x:c r="B43" s="28" t="str">
        <x:v>قرار الإطلاق</x:v>
      </x:c>
      <x:c r="C43" s="28" t="str">
        <x:v>بوابات قبول داخلية؛ الحالة الافتراضية غير متحقق وليس فشلًا آليًا بل نقص دليل. لا تتنبأ بالفوز.</x:v>
      </x:c>
      <x:c r="D43" s="28" t="n">
        <x:v>20</x:v>
      </x:c>
      <x:c r="E43" s="28" t="str">
        <x:v>افتح الورقة وفلتر الصفوف؛ عدّل الحالة عند وجود دليل فقط</x:v>
      </x:c>
    </x:row>
    <x:row r="44" ht="43" customHeight="1">
      <x:c r="A44" s="28" t="n">
        <x:v>39</x:v>
      </x:c>
      <x:c r="B44" s="28" t="str">
        <x:v>سجل القرارات</x:v>
      </x:c>
      <x:c r="C44" s="28" t="str">
        <x:v>سبب كل قرار حساس وتاريخه؛ يُحدّث عند وصول رد التنظيم أو نتيجة الاختبار</x:v>
      </x:c>
      <x:c r="D44" s="28" t="n">
        <x:v>10</x:v>
      </x:c>
      <x:c r="E44" s="28" t="str">
        <x:v>افتح الورقة وفلتر الصفوف؛ عدّل الحالة عند وجود دليل فقط</x:v>
      </x:c>
    </x:row>
    <x:row r="45" ht="43" customHeight="1">
      <x:c r="A45" s="28" t="n">
        <x:v>40</x:v>
      </x:c>
      <x:c r="B45" s="28" t="str">
        <x:v>المصادر</x:v>
      </x:c>
      <x:c r="C45" s="28" t="str">
        <x:v>روابط قابلة للنسخ لكل معلومات الحدث والتاريخ والأصول؛ مصدر الصف جزء من المصداقية</x:v>
      </x:c>
      <x:c r="D45" s="28" t="n">
        <x:v>32</x:v>
      </x:c>
      <x:c r="E45" s="28" t="str">
        <x:v>افتح الورقة وفلتر الصفوف؛ عدّل الحالة عند وجود دليل فقط</x:v>
      </x:c>
    </x:row>
    <x:row r="46" ht="43" customHeight="1">
      <x:c r="A46" s="28" t="n">
        <x:v>41</x:v>
      </x:c>
      <x:c r="B46" s="28" t="str">
        <x:v>مراجعة ذاتية</x:v>
      </x:c>
      <x:c r="C46" s="28" t="str">
        <x:v>أداة قرار داخلية بخمسة محاور. غيّر مستوى التقييم من 0 إلى 5 فقط بعد جمع أدلة؛ لا تقارنها بدرجات رسمية.</x:v>
      </x:c>
      <x:c r="D46" s="28" t="n">
        <x:v>5</x:v>
      </x:c>
      <x:c r="E46" s="28" t="str">
        <x:v>افتح الورقة وفلتر الصفوف؛ عدّل الحالة عند وجود دليل فقط</x:v>
      </x:c>
    </x:row>
    <x:row r="47" ht="43" customHeight="1">
      <x:c r="A47" s="28" t="n">
        <x:v>42</x:v>
      </x:c>
      <x:c r="B47" s="28" t="str">
        <x:v>مراجعة ذاتية</x:v>
      </x:c>
      <x:c r="C47" s="28" t="str">
        <x:v>تقييم ذاتي داخلي ليس درجة NASA</x:v>
      </x:c>
      <x:c r="D47" s="28" t="n">
        <x:v>5</x:v>
      </x:c>
      <x:c r="E47" s="28" t="str">
        <x:v>خانات إدخال 0–5</x:v>
      </x:c>
    </x:row>
    <x:row r="48" ht="43" customHeight="1">
      <x:c r="A48" s="28" t="n">
        <x:v>43</x:v>
      </x:c>
      <x:c r="B48" s="28" t="str">
        <x:v>لوحة القيادة</x:v>
      </x:c>
      <x:c r="C48" s="28" t="str">
        <x:v>مراقبة العدد والشروط والأهلية</x:v>
      </x:c>
      <x:c r="D48" s="28" t="n">
        <x:v>0</x:v>
      </x:c>
      <x:c r="E48" s="28" t="str">
        <x:v>منطقة المؤشرات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15" hidden="0" customWidth="1"/>
    <x:col min="4" max="4" width="15" hidden="0" customWidth="1"/>
    <x:col min="5" max="5" width="23" hidden="0" customWidth="1"/>
    <x:col min="6" max="6" width="15" hidden="0" customWidth="1"/>
    <x:col min="7" max="7" width="15" hidden="0" customWidth="1"/>
    <x:col min="8" max="8" width="22" hidden="0" customWidth="1"/>
    <x:col min="9" max="9" width="15" hidden="0" customWidth="1"/>
    <x:col min="10" max="10" width="15" hidden="0" customWidth="1"/>
    <x:col min="11" max="11" width="22" hidden="0" customWidth="1"/>
    <x:col min="12" max="12" width="15" hidden="0" customWidth="1"/>
  </x:cols>
  <x:sheetData>
    <x:row r="1" ht="27" customHeight="1">
      <x:c r="A1" s="48" t="str">
        <x:v>ECHOES OF SPACE  /  MASTER CONTROL CENTER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</x:row>
    <x:row r="2" ht="27" customHeight="1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</x:row>
    <x:row r="3" ht="26" customHeight="1">
      <x:c r="A3" s="50" t="str">
        <x:v>GENESIS IV → NEXT FRONTIER • ملف إدارة المشروع والقرار • 27 أكتوبر 2026 • لا يمثل تأكيد قبول أو فوز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</x:row>
    <x:row r="5" ht="26" customHeight="1">
      <x:c r="A5" s="19" t="str">
        <x:v>عدد المراحل</x:v>
      </x:c>
      <x:c r="B5" s="19"/>
      <x:c r="C5" s="19"/>
      <x:c r="D5" s="19" t="str">
        <x:v>كتالوج الألغاز</x:v>
      </x:c>
      <x:c r="E5" s="19"/>
      <x:c r="F5" s="19"/>
      <x:c r="G5" s="19" t="str">
        <x:v>حالات اختبار جاهزة</x:v>
      </x:c>
      <x:c r="H5" s="19"/>
      <x:c r="I5" s="19"/>
      <x:c r="J5" s="19" t="str">
        <x:v>مراجع علمية</x:v>
      </x:c>
      <x:c r="K5" s="19"/>
      <x:c r="L5" s="19"/>
    </x:row>
    <x:row r="6" ht="25" customHeight="1">
      <x:c r="A6" s="54" t="n">
        <x:f>COUNTA('خارطة المراحل'!A6:A200)</x:f>
        <x:v>24</x:v>
      </x:c>
      <x:c r="B6" s="54"/>
      <x:c r="C6" s="54"/>
      <x:c r="D6" s="54" t="n">
        <x:f>COUNTA('الألغاز'!A6:A200)</x:f>
        <x:v>35</x:v>
      </x:c>
      <x:c r="E6" s="54"/>
      <x:c r="F6" s="54"/>
      <x:c r="G6" s="54" t="n">
        <x:f>COUNTA('الاختبارات'!A6:A200)</x:f>
        <x:v>54</x:v>
      </x:c>
      <x:c r="H6" s="54"/>
      <x:c r="I6" s="54"/>
      <x:c r="J6" s="54" t="n">
        <x:f>COUNTA('الأدلة العلمية'!A6:A200)</x:f>
        <x:v>24</x:v>
      </x:c>
      <x:c r="K6" s="54"/>
      <x:c r="L6" s="54"/>
    </x:row>
    <x:row r="7" ht="25" customHeight="1">
      <x:c r="A7" s="54"/>
      <x:c r="B7" s="54"/>
      <x:c r="C7" s="54"/>
      <x:c r="D7" s="54"/>
      <x:c r="E7" s="54"/>
      <x:c r="F7" s="54"/>
      <x:c r="G7" s="54"/>
      <x:c r="H7" s="54"/>
      <x:c r="I7" s="54"/>
      <x:c r="J7" s="54"/>
      <x:c r="K7" s="54"/>
      <x:c r="L7" s="54"/>
    </x:row>
    <x:row r="9" ht="29" customHeight="1">
      <x:c r="A9" s="19" t="str">
        <x:v>البوابات المستوفاة</x:v>
      </x:c>
      <x:c r="B9" s="19"/>
      <x:c r="C9" s="19"/>
      <x:c r="D9" s="19" t="str">
        <x:v>من أصل بوابة</x:v>
      </x:c>
      <x:c r="E9" s="19"/>
      <x:c r="F9" s="19"/>
      <x:c r="G9" s="19" t="str">
        <x:v>متطلبات حاسمة غير مثبتة</x:v>
      </x:c>
      <x:c r="H9" s="19"/>
      <x:c r="I9" s="19"/>
      <x:c r="J9" s="19" t="str">
        <x:v>عناصر خارطة التنفيذ</x:v>
      </x:c>
      <x:c r="K9" s="19"/>
      <x:c r="L9" s="19"/>
    </x:row>
    <x:row r="10" ht="25" customHeight="1">
      <x:c r="A10" s="60" t="n">
        <x:f>COUNTIF('قرار الإطلاق'!E6:E25,"نجح بدليل")</x:f>
        <x:v>0</x:v>
      </x:c>
      <x:c r="B10" s="60"/>
      <x:c r="C10" s="60"/>
      <x:c r="D10" s="60" t="n">
        <x:f>COUNTA('قرار الإطلاق'!A6:A25)</x:f>
        <x:v>20</x:v>
      </x:c>
      <x:c r="E10" s="60"/>
      <x:c r="F10" s="60"/>
      <x:c r="G10" s="60" t="n">
        <x:f>COUNTIFS('قرار الإطلاق'!D6:D25,"حرج",'قرار الإطلاق'!E6:E25,"&lt;&gt;نجح بدليل")</x:f>
        <x:v>15</x:v>
      </x:c>
      <x:c r="H10" s="60"/>
      <x:c r="I10" s="60"/>
      <x:c r="J10" s="60" t="n">
        <x:f>COUNTA('خطة التنفيذ'!A6:A250)</x:f>
        <x:v>98</x:v>
      </x:c>
      <x:c r="K10" s="60"/>
      <x:c r="L10" s="60"/>
    </x:row>
    <x:row r="11" ht="25" customHeight="1">
      <x:c r="A11" s="60"/>
      <x:c r="B11" s="60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</x:row>
    <x:row r="13" ht="28" customHeight="1">
      <x:c r="A13" s="65" t="str">
        <x:v>قرار أهلية التقديم — فحص قبل أي قرار نشر للمسابقة</x:v>
      </x:c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</x:row>
    <x:row r="14" ht="26" customHeight="1">
      <x:c r="A14" s="70" t="str">
        <x:f>IF('قرار الإطلاق'!E6="نجح بدليل",IF(COUNTIF('قرار الإطلاق'!E6:E25,"نجح بدليل")=COUNTA('قرار الإطلاق'!A6:A25),"مرشح للمراجعة النهائية — لا يعني قبول NASA","الأهلية محسومة، لكن توجد بوابات عمل غير مثبتة"),"توقف: يجب حسم جواز استخدام العمل السابق بقرار من المنظمين")</x:f>
        <x:v>توقف: يجب حسم جواز استخدام العمل السابق بقرار من المنظمين</x:v>
      </x:c>
      <x:c r="B14" s="70"/>
      <x:c r="C14" s="70"/>
      <x:c r="D14" s="70"/>
      <x:c r="E14" s="70"/>
      <x:c r="F14" s="70"/>
      <x:c r="G14" s="70"/>
      <x:c r="H14" s="70"/>
      <x:c r="I14" s="70"/>
      <x:c r="J14" s="70"/>
      <x:c r="K14" s="70"/>
      <x:c r="L14" s="70"/>
    </x:row>
    <x:row r="15" ht="26" customHeight="1">
      <x:c r="A15" s="70"/>
      <x:c r="B15" s="70"/>
      <x:c r="C15" s="70"/>
      <x:c r="D15" s="70"/>
      <x:c r="E15" s="70"/>
      <x:c r="F15" s="70"/>
      <x:c r="G15" s="70"/>
      <x:c r="H15" s="70"/>
      <x:c r="I15" s="70"/>
      <x:c r="J15" s="70"/>
      <x:c r="K15" s="70"/>
      <x:c r="L15" s="70"/>
    </x:row>
    <x:row r="17" ht="27" customHeight="1">
      <x:c r="A17" s="19" t="str">
        <x:v>خارطة قبول داخلية (وليست الأوزان الرسمية)</x:v>
      </x:c>
      <x:c r="B17" s="19"/>
      <x:c r="C17" s="19"/>
      <x:c r="D17" s="19"/>
      <x:c r="E17" s="19"/>
      <x:c r="F17" s="19"/>
      <x:c r="G17" s="19" t="str">
        <x:v>التواريخ والقواعد الحاكمة</x:v>
      </x:c>
      <x:c r="H17" s="19"/>
      <x:c r="I17" s="19"/>
      <x:c r="J17" s="19"/>
      <x:c r="K17" s="19"/>
      <x:c r="L17" s="19"/>
    </x:row>
    <x:row r="18" ht="39" customHeight="1">
      <x:c r="A18" s="21" t="str">
        <x:v>المحور</x:v>
      </x:c>
      <x:c r="B18" s="21" t="str">
        <x:v>الوصف</x:v>
      </x:c>
      <x:c r="C18" s="21" t="str">
        <x:v>وزن %</x:v>
      </x:c>
      <x:c r="D18" s="21" t="str">
        <x:v>تقييم 0–5</x:v>
      </x:c>
      <x:c r="G18" s="88" t="str">
        <x:v>27 أكتوبر</x:v>
      </x:c>
      <x:c r="H18" s="88"/>
      <x:c r="I18" s="88" t="str">
        <x:v>وضع المصنف والخطة وطلب رد الأهلية</x:v>
      </x:c>
      <x:c r="J18" s="88"/>
      <x:c r="K18" s="88"/>
      <x:c r="L18" s="88"/>
    </x:row>
    <x:row r="19" ht="39" customHeight="1">
      <x:c r="A19" s="76" t="str">
        <x:v>الأثر Impact</x:v>
      </x:c>
      <x:c r="B19" s="76" t="str">
        <x:v>تحديد المشكلة، تجربة طلاب، نتائج تعلم</x:v>
      </x:c>
      <x:c r="C19" s="76" t="n">
        <x:f>'مراجعة ذاتية'!D6</x:f>
        <x:v>20</x:v>
      </x:c>
      <x:c r="D19" s="76" t="n">
        <x:f>'مراجعة ذاتية'!E6</x:f>
        <x:v>0</x:v>
      </x:c>
      <x:c r="G19" s="93" t="str">
        <x:v>14 نوفمبر 09:00</x:v>
      </x:c>
      <x:c r="H19" s="93"/>
      <x:c r="I19" s="93" t="str">
        <x:v>بدء الهاكاثون وفتح التسليم بحسب الموقع الرسمي</x:v>
      </x:c>
      <x:c r="J19" s="93"/>
      <x:c r="K19" s="93"/>
      <x:c r="L19" s="93"/>
    </x:row>
    <x:row r="20" ht="39" customHeight="1">
      <x:c r="A20" s="82" t="str">
        <x:v>الإبداع Creativity</x:v>
      </x:c>
      <x:c r="B20" s="82" t="str">
        <x:v>ألغاز تربط الدليل بالآلة وأفعال اللاعب</x:v>
      </x:c>
      <x:c r="C20" s="82" t="n">
        <x:f>'مراجعة ذاتية'!D7</x:f>
        <x:v>20</x:v>
      </x:c>
      <x:c r="D20" s="82" t="n">
        <x:f>'مراجعة ذاتية'!E7</x:f>
        <x:v>0</x:v>
      </x:c>
      <x:c r="G20" s="88" t="str">
        <x:v>15 نوفمبر 23:59</x:v>
      </x:c>
      <x:c r="H20" s="88"/>
      <x:c r="I20" s="88" t="str">
        <x:v>آخر وقت معلن للتسليم بتوقيت حدث الفريق</x:v>
      </x:c>
      <x:c r="J20" s="88"/>
      <x:c r="K20" s="88"/>
      <x:c r="L20" s="88"/>
    </x:row>
    <x:row r="21" ht="39" customHeight="1">
      <x:c r="A21" s="76" t="str">
        <x:v>الصحة Validity</x:v>
      </x:c>
      <x:c r="B21" s="76" t="str">
        <x:v>مصادر موثقة ووحدات محاكاة صحيحة</x:v>
      </x:c>
      <x:c r="C21" s="76" t="n">
        <x:f>'مراجعة ذاتية'!D8</x:f>
        <x:v>20</x:v>
      </x:c>
      <x:c r="D21" s="76" t="n">
        <x:f>'مراجعة ذاتية'!E8</x:f>
        <x:v>0</x:v>
      </x:c>
      <x:c r="G21" s="93" t="str">
        <x:v>بحد أقصى 6</x:v>
      </x:c>
      <x:c r="H21" s="93"/>
      <x:c r="I21" s="93" t="str">
        <x:v>حجم الفريق بحسب NASA Space Apps 2026</x:v>
      </x:c>
      <x:c r="J21" s="93"/>
      <x:c r="K21" s="93"/>
      <x:c r="L21" s="93"/>
    </x:row>
    <x:row r="22" ht="39" customHeight="1">
      <x:c r="A22" s="82" t="str">
        <x:v>الملاءمة Relevance</x:v>
      </x:c>
      <x:c r="B22" s="82" t="str">
        <x:v>حل التحدي/اكتمال اللعبة/عمر المستخدم</x:v>
      </x:c>
      <x:c r="C22" s="82" t="n">
        <x:f>'مراجعة ذاتية'!D9</x:f>
        <x:v>20</x:v>
      </x:c>
      <x:c r="D22" s="82" t="n">
        <x:f>'مراجعة ذاتية'!E9</x:f>
        <x:v>0</x:v>
      </x:c>
      <x:c r="G22" s="88" t="str">
        <x:v>تحذير</x:v>
      </x:c>
      <x:c r="H22" s="88"/>
      <x:c r="I22" s="88" t="str">
        <x:v>صفحة فعالية 2026 تطلب بدء الحل خلال الهاكاثون</x:v>
      </x:c>
      <x:c r="J22" s="88"/>
      <x:c r="K22" s="88"/>
      <x:c r="L22" s="88"/>
    </x:row>
    <x:row r="23" ht="32" customHeight="1">
      <x:c r="A23" s="76" t="str">
        <x:v>العرض Presentation</x:v>
      </x:c>
      <x:c r="B23" s="76" t="str">
        <x:v>ديمو حي وحكاية واضحة وأسئلة صعبة</x:v>
      </x:c>
      <x:c r="C23" s="76" t="n">
        <x:f>'مراجعة ذاتية'!D10</x:f>
        <x:v>20</x:v>
      </x:c>
      <x:c r="D23" s="76" t="n">
        <x:f>'مراجعة ذاتية'!E10</x:f>
        <x:v>0</x:v>
      </x:c>
    </x:row>
    <x:row r="26" ht="26" customHeight="1">
      <x:c r="A26" s="97" t="str">
        <x:v>تفسير اللون: أخضر = دليل نجاح | أصفر = يحتاج مراجعة | أحمر = شرط حرج | رمادي = خطط مستقبلية</x:v>
      </x:c>
      <x:c r="B26" s="97"/>
      <x:c r="C26" s="97"/>
      <x:c r="D26" s="97"/>
      <x:c r="E26" s="97"/>
      <x:c r="F26" s="97"/>
      <x:c r="G26" s="97"/>
      <x:c r="H26" s="97"/>
      <x:c r="I26" s="97"/>
      <x:c r="J26" s="97"/>
      <x:c r="K26" s="97"/>
      <x:c r="L26" s="97"/>
    </x:row>
    <x:row r="28" ht="33" customHeight="1">
      <x:c r="A28" s="101" t="str">
        <x:v>اقرأ أولًا: «الأهلية والتنظيم» → «التحدي والمتطلبات» → «قرار الإطلاق» → «التحكيم» → «ملخص تنفيذي».</x:v>
      </x:c>
      <x:c r="B28" s="101"/>
      <x:c r="C28" s="101"/>
      <x:c r="D28" s="101"/>
      <x:c r="E28" s="101"/>
      <x:c r="F28" s="101"/>
      <x:c r="G28" s="101"/>
      <x:c r="H28" s="101"/>
      <x:c r="I28" s="101"/>
      <x:c r="J28" s="101"/>
      <x:c r="K28" s="101"/>
      <x:c r="L28" s="101"/>
    </x:row>
    <x:row r="30" ht="28" customHeight="1">
      <x:c r="A30" s="105" t="str">
        <x:v>تنبيه: يحتوي هذا المصنف على قرارات تصميمية، افتراضات، وأوصاف من ملف اللعبة الحالي. المصدر الرسمي وحده يحدد أهلية المشاركة، ولجان التحكيم وحدها تحدد نتائج المنافسة.</x:v>
      </x:c>
      <x:c r="B30" s="105"/>
      <x:c r="C30" s="105"/>
      <x:c r="D30" s="105"/>
      <x:c r="E30" s="105"/>
      <x:c r="F30" s="105"/>
      <x:c r="G30" s="105"/>
      <x:c r="H30" s="105"/>
      <x:c r="I30" s="105"/>
      <x:c r="J30" s="105"/>
      <x:c r="K30" s="105"/>
      <x:c r="L30" s="105"/>
    </x:row>
    <x:row r="31" ht="28" customHeight="1">
      <x:c r="A31" s="105"/>
      <x:c r="B31" s="105"/>
      <x:c r="C31" s="105"/>
      <x:c r="D31" s="105"/>
      <x:c r="E31" s="105"/>
      <x:c r="F31" s="105"/>
      <x:c r="G31" s="105"/>
      <x:c r="H31" s="105"/>
      <x:c r="I31" s="105"/>
      <x:c r="J31" s="105"/>
      <x:c r="K31" s="105"/>
      <x:c r="L31" s="105"/>
    </x:row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9:C9"/>
    <x:mergeCell ref="A10:C11"/>
    <x:mergeCell ref="D9:F9"/>
    <x:mergeCell ref="D10:F11"/>
    <x:mergeCell ref="G9:I9"/>
    <x:mergeCell ref="G10:I11"/>
    <x:mergeCell ref="J9:L9"/>
    <x:mergeCell ref="J10:L11"/>
    <x:mergeCell ref="A13:L13"/>
    <x:mergeCell ref="A14:L15"/>
    <x:mergeCell ref="A17:F17"/>
    <x:mergeCell ref="G17:L17"/>
    <x:mergeCell ref="G18:H18"/>
    <x:mergeCell ref="I18:L18"/>
    <x:mergeCell ref="G19:H19"/>
    <x:mergeCell ref="I19:L19"/>
    <x:mergeCell ref="G20:H20"/>
    <x:mergeCell ref="I20:L20"/>
    <x:mergeCell ref="G21:H21"/>
    <x:mergeCell ref="I21:L21"/>
    <x:mergeCell ref="G22:H22"/>
    <x:mergeCell ref="I22:L22"/>
    <x:mergeCell ref="A26:L26"/>
    <x:mergeCell ref="A28:L28"/>
    <x:mergeCell ref="A30:L31"/>
  </x:mergeCells>
  <x:pageMargins left="0.7" right="0.7" top="0.75" bottom="0.75" header="0.3" footer="0.3"/>
</x:worksheet>
</file>